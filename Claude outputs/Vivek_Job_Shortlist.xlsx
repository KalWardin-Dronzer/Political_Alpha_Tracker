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rtlist" sheetId="1" state="visible" r:id="rId3"/>
    <sheet name="Filtered out" sheetId="2" state="visible" r:id="rId4"/>
    <sheet name="Scoring method" sheetId="3" state="visible" r:id="rId5"/>
  </sheets>
  <definedNames>
    <definedName function="false" hidden="true" localSheetId="0" name="_xlnm._FilterDatabase" vbProcedure="false">Shortlist!$A$1:$Q$42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<sst xmlns="http://schemas.openxmlformats.org/spreadsheetml/2006/main" count="518" uniqueCount="334">
  <si>
    <t xml:space="preserve">Rank</t>
  </si>
  <si>
    <t xml:space="preserve">Role</t>
  </si>
  <si>
    <t xml:space="preserve">Company</t>
  </si>
  <si>
    <t xml:space="preserve">Location</t>
  </si>
  <si>
    <t xml:space="preserve">Type</t>
  </si>
  <si>
    <t xml:space="preserve">Posted</t>
  </si>
  <si>
    <t xml:space="preserve">Maps to title</t>
  </si>
  <si>
    <t xml:space="preserve">Title fit /30</t>
  </si>
  <si>
    <t xml:space="preserve">Level fit /30</t>
  </si>
  <si>
    <t xml:space="preserve">Skill overlap /25</t>
  </si>
  <si>
    <t xml:space="preserve">Employer /15</t>
  </si>
  <si>
    <t xml:space="preserve">Match score</t>
  </si>
  <si>
    <t xml:space="preserve">Verdict</t>
  </si>
  <si>
    <t xml:space="preserve">Use CV</t>
  </si>
  <si>
    <t xml:space="preserve">Why it scores here</t>
  </si>
  <si>
    <t xml:space="preserve">Watch out</t>
  </si>
  <si>
    <t xml:space="preserve">Link</t>
  </si>
  <si>
    <t xml:space="preserve">Intern - AI/ML</t>
  </si>
  <si>
    <t xml:space="preserve">Tower Research Capital</t>
  </si>
  <si>
    <t xml:space="preserve">Gurgaon, HR</t>
  </si>
  <si>
    <t xml:space="preserve">Internship</t>
  </si>
  <si>
    <t xml:space="preserve">2026-09-11</t>
  </si>
  <si>
    <t xml:space="preserve">#3 Quant Research / #5 Applied Scientist</t>
  </si>
  <si>
    <t xml:space="preserve">QR</t>
  </si>
  <si>
    <t xml:space="preserve">Quant prop firm running exactly your stack: signal research, backtesting, Python. Kelly sizing and walk-forward validation are their daily vocabulary.</t>
  </si>
  <si>
    <t xml:space="preserve">Extremely selective. Expect a hard DSA + probability screen before anyone reads the resume.</t>
  </si>
  <si>
    <t xml:space="preserve">Open</t>
  </si>
  <si>
    <t xml:space="preserve">Quantitative Researcher - Early Career (INDIA)</t>
  </si>
  <si>
    <t xml:space="preserve">Trexquant Investment LP</t>
  </si>
  <si>
    <t xml:space="preserve">Gurugram, HR</t>
  </si>
  <si>
    <t xml:space="preserve">Full-time (early career)</t>
  </si>
  <si>
    <t xml:space="preserve">2026-09-08</t>
  </si>
  <si>
    <t xml:space="preserve">#3 Quant Research</t>
  </si>
  <si>
    <t xml:space="preserve">Explicitly early-career, and systematic alpha research is literally what your Political Alpha Tracker does end to end.</t>
  </si>
  <si>
    <t xml:space="preserve">Confirm 2027-grad eligibility first - 'early career' at funds often means 2026 grads only.</t>
  </si>
  <si>
    <t xml:space="preserve">Research Sciences INTERN</t>
  </si>
  <si>
    <t xml:space="preserve">Microsoft</t>
  </si>
  <si>
    <t xml:space="preserve">Bengaluru, KA</t>
  </si>
  <si>
    <t xml:space="preserve">2026-09-10</t>
  </si>
  <si>
    <t xml:space="preserve">#5 Applied Scientist</t>
  </si>
  <si>
    <t xml:space="preserve">RES</t>
  </si>
  <si>
    <t xml:space="preserve">The one posting where your accepted Springer paper does the heavy lifting. Conformal prediction is a live research area.</t>
  </si>
  <si>
    <t xml:space="preserve">Heavily PhD-weighted. Lead with the publication or you will not clear the first pass.</t>
  </si>
  <si>
    <t xml:space="preserve">Research Intern - AI</t>
  </si>
  <si>
    <t xml:space="preserve">GE HealthCare</t>
  </si>
  <si>
    <t xml:space="preserve">2026-08-31</t>
  </si>
  <si>
    <t xml:space="preserve">#5 Applied Scientist / #13 Life Sciences</t>
  </si>
  <si>
    <t xml:space="preserve">PHA</t>
  </si>
  <si>
    <t xml:space="preserve">Healthcare plus research is the exact intersection of your Bayesian epidemiological modelling project.</t>
  </si>
  <si>
    <t xml:space="preserve">Will want evidence you can read clinical literature, not just model it.</t>
  </si>
  <si>
    <t xml:space="preserve">Internship Trainee - AI Engg.</t>
  </si>
  <si>
    <t xml:space="preserve">Crisil</t>
  </si>
  <si>
    <t xml:space="preserve">Pune, MH</t>
  </si>
  <si>
    <t xml:space="preserve">2026-08-24</t>
  </si>
  <si>
    <t xml:space="preserve">#8 Research Analyst / #11 Model Risk</t>
  </si>
  <si>
    <t xml:space="preserve">Crisil is ratings and econometrics. Your SARIMA work and model-validation language land better here than at a product company.</t>
  </si>
  <si>
    <t xml:space="preserve">Two near-identical postings (Pune and Mumbai) - apply to one, not both.</t>
  </si>
  <si>
    <t xml:space="preserve">Exposure Modelling Summer Intern</t>
  </si>
  <si>
    <t xml:space="preserve">Moody's Corporation</t>
  </si>
  <si>
    <t xml:space="preserve">Sadar, UP</t>
  </si>
  <si>
    <t xml:space="preserve">2026-09-07</t>
  </si>
  <si>
    <t xml:space="preserve">#11 Quantitative Risk</t>
  </si>
  <si>
    <t xml:space="preserve">Catastrophe exposure modelling is Monte Carlo, scenario analysis and sensitivity testing - your MCMC diagnostics work transfers directly.</t>
  </si>
  <si>
    <t xml:space="preserve">Odd listed location; confirm the actual base before investing in the application.</t>
  </si>
  <si>
    <t xml:space="preserve">Data and AI Engineering Intern</t>
  </si>
  <si>
    <t xml:space="preserve">Electronic Arts (EA)</t>
  </si>
  <si>
    <t xml:space="preserve">Hyderabad, TG</t>
  </si>
  <si>
    <t xml:space="preserve">2026-09-09</t>
  </si>
  <si>
    <t xml:space="preserve">#6 ML Engineer / #9 Data Engineer</t>
  </si>
  <si>
    <t xml:space="preserve">ENG</t>
  </si>
  <si>
    <t xml:space="preserve">Your Docker, GitHub Actions, pytest and EC2 work is real deployment evidence, which almost no student applicant has.</t>
  </si>
  <si>
    <t xml:space="preserve">They will ask about orchestration at scale - you have cron and Actions, not Airflow. Have an answer ready.</t>
  </si>
  <si>
    <t xml:space="preserve">Data Analyst Project Intern (Training &amp; Quality) - 2026 Start (BS/MS)</t>
  </si>
  <si>
    <t xml:space="preserve">ByteDance</t>
  </si>
  <si>
    <t xml:space="preserve">#4 Data Analyst</t>
  </si>
  <si>
    <t xml:space="preserve">AN</t>
  </si>
  <si>
    <t xml:space="preserve">Explicitly scoped to BS/MS candidates with a 2026 start. Level fit is as clean as it gets.</t>
  </si>
  <si>
    <t xml:space="preserve">Data quality and annotation work, not modelling. Go in knowing that is the job.</t>
  </si>
  <si>
    <t xml:space="preserve">Data Science Intern</t>
  </si>
  <si>
    <t xml:space="preserve">Houlihan Lokey</t>
  </si>
  <si>
    <t xml:space="preserve">2026-09-01</t>
  </si>
  <si>
    <t xml:space="preserve">#1 Data Scientist / #3 Quant Research</t>
  </si>
  <si>
    <t xml:space="preserve">Investment bank running a genuine DS intern seat - finance domain plus modelling, which is your overlap.</t>
  </si>
  <si>
    <t xml:space="preserve">Small intake. A referral matters more than the application here.</t>
  </si>
  <si>
    <t xml:space="preserve">Quantitative Research Analyst</t>
  </si>
  <si>
    <t xml:space="preserve">Groww</t>
  </si>
  <si>
    <t xml:space="preserve">Full-time</t>
  </si>
  <si>
    <t xml:space="preserve">2026-09-04</t>
  </si>
  <si>
    <t xml:space="preserve">Indian fintech quant desk - Python-first, so your missing C++ is not the blocker it is at an HFT shop.</t>
  </si>
  <si>
    <t xml:space="preserve">Likely wants 1-2 years. Apply anyway; fintech flexes more than banks do.</t>
  </si>
  <si>
    <t xml:space="preserve">Research Intern</t>
  </si>
  <si>
    <t xml:space="preserve">Council on Energy, Environment and Water (CEEW)</t>
  </si>
  <si>
    <t xml:space="preserve">Delhi</t>
  </si>
  <si>
    <t xml:space="preserve">2026-09-14</t>
  </si>
  <si>
    <t xml:space="preserve">#8 Research Analyst (Econ)</t>
  </si>
  <si>
    <t xml:space="preserve">Your SARIMA study of Indian electricity generation 2019-25 is a direct topical hit. Almost nobody else applying will have built exactly this.</t>
  </si>
  <si>
    <t xml:space="preserve">Think-tank pay and scope. The value is the publication credit, not the stipend.</t>
  </si>
  <si>
    <t xml:space="preserve">Intern - AI Engineering</t>
  </si>
  <si>
    <t xml:space="preserve">Nuvama Group</t>
  </si>
  <si>
    <t xml:space="preserve">Mumbai, MH</t>
  </si>
  <si>
    <t xml:space="preserve">2026-08-18</t>
  </si>
  <si>
    <t xml:space="preserve">#6 ML Engineer / #12 GenAI</t>
  </si>
  <si>
    <t xml:space="preserve">Nuvama also has a Quantitative Researcher req open - two doors into the same firm.</t>
  </si>
  <si>
    <t xml:space="preserve">Posted 18 Aug; may already be closed. Check before writing a tailored version.</t>
  </si>
  <si>
    <t xml:space="preserve">Associate - Decision Science</t>
  </si>
  <si>
    <t xml:space="preserve">Axtria - Ingenious Insights</t>
  </si>
  <si>
    <t xml:space="preserve">2026-08-28</t>
  </si>
  <si>
    <t xml:space="preserve">#2 Decision Scientist / #13 Life Sciences</t>
  </si>
  <si>
    <t xml:space="preserve">DS</t>
  </si>
  <si>
    <t xml:space="preserve">Your #2 title verbatim, at a pharma-analytics firm. The Amgen adjacency without needing Amgen to open a grad req.</t>
  </si>
  <si>
    <t xml:space="preserve">Associate usually means 1-2 years at Axtria. Your projects have to carry the gap.</t>
  </si>
  <si>
    <t xml:space="preserve">Decision Scientist</t>
  </si>
  <si>
    <t xml:space="preserve">Tesco Bengaluru</t>
  </si>
  <si>
    <t xml:space="preserve">2026-09-15</t>
  </si>
  <si>
    <t xml:space="preserve">#2 Decision Scientist</t>
  </si>
  <si>
    <t xml:space="preserve">Title matches your #2 exactly, and Tesco's decision-science function is genuinely analytical rather than reporting.</t>
  </si>
  <si>
    <t xml:space="preserve">Usually 2+ years. Lowest level-fit in this group - treat as a stretch.</t>
  </si>
  <si>
    <t xml:space="preserve">Speech Recognition Intern</t>
  </si>
  <si>
    <t xml:space="preserve">Sony Research India</t>
  </si>
  <si>
    <t xml:space="preserve">Corporate research lab internship - your publication signals you can work at research pace.</t>
  </si>
  <si>
    <t xml:space="preserve">Speech and ASR are outside your stack. You would learn the domain on arrival.</t>
  </si>
  <si>
    <t xml:space="preserve">Quantitative Researcher</t>
  </si>
  <si>
    <t xml:space="preserve">IMC Trading</t>
  </si>
  <si>
    <t xml:space="preserve">2026-08-29</t>
  </si>
  <si>
    <t xml:space="preserve">Top-tier market maker that does run a graduate pipeline; the title is a perfect match on paper.</t>
  </si>
  <si>
    <t xml:space="preserve">Reads experienced-hire, and IMC gates hard on CGPA and institute. 7.05 from BIT is below their usual bar.</t>
  </si>
  <si>
    <t xml:space="preserve">AI Software Intern / Trainee</t>
  </si>
  <si>
    <t xml:space="preserve">Panasonic Avionics Corporation</t>
  </si>
  <si>
    <t xml:space="preserve">#6 ML Engineer</t>
  </si>
  <si>
    <t xml:space="preserve">Clean intern/trainee framing and a recent post. Low competition relative to the brand-name listings.</t>
  </si>
  <si>
    <t xml:space="preserve">Embedded and avionics context - more software engineering than data science.</t>
  </si>
  <si>
    <t xml:space="preserve">Automation / AI Intern for Blade Structural Design</t>
  </si>
  <si>
    <t xml:space="preserve">Siemens Gamesa</t>
  </si>
  <si>
    <t xml:space="preserve">#19 Optimization / #5 Applied Scientist</t>
  </si>
  <si>
    <t xml:space="preserve">Structural design automation is constrained optimization - your genetic-algorithm build is the closest thing you have.</t>
  </si>
  <si>
    <t xml:space="preserve">Mechanical domain knowledge assumed. Expect to justify why a QEDS student fits.</t>
  </si>
  <si>
    <t xml:space="preserve">Udaan Data Analytics</t>
  </si>
  <si>
    <t xml:space="preserve">Myntra</t>
  </si>
  <si>
    <t xml:space="preserve">Early-career programme</t>
  </si>
  <si>
    <t xml:space="preserve">2026-09-12</t>
  </si>
  <si>
    <t xml:space="preserve">#4 Data Analyst / #14 Product Analyst</t>
  </si>
  <si>
    <t xml:space="preserve">Udaan is Myntra's early-careers analytics track - built for exactly your stage.</t>
  </si>
  <si>
    <t xml:space="preserve">Power BI / Tableau will very likely be screened. This is the role that most rewards fixing that gap.</t>
  </si>
  <si>
    <t xml:space="preserve">Analytics Intern</t>
  </si>
  <si>
    <t xml:space="preserve">Policybazaar.ae</t>
  </si>
  <si>
    <t xml:space="preserve">2026-09-02</t>
  </si>
  <si>
    <t xml:space="preserve">Insurance analytics - high-volume behavioural data and a real experimentation culture.</t>
  </si>
  <si>
    <t xml:space="preserve">Listed under the .ae entity; confirm whether the seat is India or UAE.</t>
  </si>
  <si>
    <t xml:space="preserve">Data Analyst/Data Engineer Intern</t>
  </si>
  <si>
    <t xml:space="preserve">DeHaat</t>
  </si>
  <si>
    <t xml:space="preserve">2026-08-20</t>
  </si>
  <si>
    <t xml:space="preserve">#4 Data Analyst / #9 Data Engineer</t>
  </si>
  <si>
    <t xml:space="preserve">Dual analyst/engineer scope matches the fact that you have genuinely done both.</t>
  </si>
  <si>
    <t xml:space="preserve">Agritech data is messy and field-sourced - lean on your multi-source pipeline work.</t>
  </si>
  <si>
    <t xml:space="preserve">Risk Analyst, Model Risk Management</t>
  </si>
  <si>
    <t xml:space="preserve">ICE</t>
  </si>
  <si>
    <t xml:space="preserve">Your MCMC bullet - convergence diagnostics, sensitivity analysis, documented assumptions - is model-validation language almost word for word.</t>
  </si>
  <si>
    <t xml:space="preserve">Will expect SR 11-7 or Basel familiarity. Read the framework before interviewing.</t>
  </si>
  <si>
    <t xml:space="preserve">Analyst - Data Science</t>
  </si>
  <si>
    <t xml:space="preserve">American Express</t>
  </si>
  <si>
    <t xml:space="preserve">#1 Data Scientist / #2 Decision Scientist</t>
  </si>
  <si>
    <t xml:space="preserve">Amex runs a genuine analyst tier in India and hires off-campus into it.</t>
  </si>
  <si>
    <t xml:space="preserve">Strong SQL screen. Your SQL is listed but thinly evidenced - build a query-heavy story.</t>
  </si>
  <si>
    <t xml:space="preserve">Graduate Apprenticeship Trainee - AI/ML</t>
  </si>
  <si>
    <t xml:space="preserve">Bruker</t>
  </si>
  <si>
    <t xml:space="preserve">Apprenticeship</t>
  </si>
  <si>
    <t xml:space="preserve">#5 Applied Scientist / #6 ML Engineer</t>
  </si>
  <si>
    <t xml:space="preserve">Apprenticeship framing means they expect to train - the internship gap matters least here.</t>
  </si>
  <si>
    <t xml:space="preserve">Apprentice stipends are low and conversion is not guaranteed. Ask about conversion rate.</t>
  </si>
  <si>
    <t xml:space="preserve">AI/ML Intern (Generative AI &amp; LLM)</t>
  </si>
  <si>
    <t xml:space="preserve">Webknot Technologies</t>
  </si>
  <si>
    <t xml:space="preserve">#12 GenAI Engineer</t>
  </si>
  <si>
    <t xml:space="preserve">Your long-form memory system - hybrid BM25 plus embeddings, sub-100ms, conflict resolution - is well past the usual wrapped-API project.</t>
  </si>
  <si>
    <t xml:space="preserve">Small services firm. Verify the work is real engineering and not client demos.</t>
  </si>
  <si>
    <t xml:space="preserve">Risk Management - Model Performance &amp; Monitoring - Analyst</t>
  </si>
  <si>
    <t xml:space="preserve">Nomura</t>
  </si>
  <si>
    <t xml:space="preserve">2026-08-26</t>
  </si>
  <si>
    <t xml:space="preserve">Model monitoring and performance testing is backtesting under a different name - you have done it on a live pipeline.</t>
  </si>
  <si>
    <t xml:space="preserve">Analyst here still usually means 1+ year. Bank risk also leans SAS, which you lack.</t>
  </si>
  <si>
    <t xml:space="preserve">IT Internship Program (January - June 2027)</t>
  </si>
  <si>
    <t xml:space="preserve">Edwards Lifesciences</t>
  </si>
  <si>
    <t xml:space="preserve">#13 Life Sciences</t>
  </si>
  <si>
    <t xml:space="preserve">Jan-Jun 2027 window fits your final year cleanly, and medtech keeps the life-sciences thread alive.</t>
  </si>
  <si>
    <t xml:space="preserve">Broad IT scope - may not be analytics at all. Clarify the team before accepting.</t>
  </si>
  <si>
    <t xml:space="preserve">Quant Researcher</t>
  </si>
  <si>
    <t xml:space="preserve">CoinDCX</t>
  </si>
  <si>
    <t xml:space="preserve">2026-08-21</t>
  </si>
  <si>
    <t xml:space="preserve">#3 Quant Research / #16 Quant Developer</t>
  </si>
  <si>
    <t xml:space="preserve">Crypto quant is Python-first and pedigree-light - the cleanest route around your missing C++.</t>
  </si>
  <si>
    <t xml:space="preserve">Volatile sector. Check the firm's headcount trajectory before committing.</t>
  </si>
  <si>
    <t xml:space="preserve">Modeling Centre of Excellence: Forecasting - Analyst</t>
  </si>
  <si>
    <t xml:space="preserve">JPMorganChase</t>
  </si>
  <si>
    <t xml:space="preserve">Forecasting CoE work is time-series econometrics, which your SARIMA project evidences directly.</t>
  </si>
  <si>
    <t xml:space="preserve">Bank analyst tiers rarely take pre-graduation candidates. Apply for the 2027 cycle.</t>
  </si>
  <si>
    <t xml:space="preserve">Information Technology Intern</t>
  </si>
  <si>
    <t xml:space="preserve">Procter &amp; Gamble</t>
  </si>
  <si>
    <t xml:space="preserve">#10 Business Analyst</t>
  </si>
  <si>
    <t xml:space="preserve">P&amp;G internships convert well and the brand travels. Level fit is perfect.</t>
  </si>
  <si>
    <t xml:space="preserve">Broad IT scope, not analytics-specific. Confirm the team before accepting.</t>
  </si>
  <si>
    <t xml:space="preserve">Evaluation &amp; Insights Intern, AI Delivery</t>
  </si>
  <si>
    <t xml:space="preserve">Blue Machines AI</t>
  </si>
  <si>
    <t xml:space="preserve">#12 GenAI / #14 Product Analyst</t>
  </si>
  <si>
    <t xml:space="preserve">LLM evaluation work maps onto the benchmark suite you built for the memory system.</t>
  </si>
  <si>
    <t xml:space="preserve">Early-stage company. Check funding and headcount.</t>
  </si>
  <si>
    <t xml:space="preserve">AQE Research Analyst, Officer</t>
  </si>
  <si>
    <t xml:space="preserve">State Street</t>
  </si>
  <si>
    <t xml:space="preserve">#3 Quant Research / #11 Risk</t>
  </si>
  <si>
    <t xml:space="preserve">Active quantitative equity research - factor models and signal construction, which is your P1 in an institutional wrapper.</t>
  </si>
  <si>
    <t xml:space="preserve">'Officer' is a graded bank title above entry. Stretch.</t>
  </si>
  <si>
    <t xml:space="preserve">Quant Trader / Researcher - Options &amp; Systematic Derivatives</t>
  </si>
  <si>
    <t xml:space="preserve">Northstar Quant</t>
  </si>
  <si>
    <t xml:space="preserve">2026-08-19</t>
  </si>
  <si>
    <t xml:space="preserve">Options and systematic derivatives is precisely the domain of your accepted paper on conformal prediction for option pricing.</t>
  </si>
  <si>
    <t xml:space="preserve">Small firm, likely wants someone who can trade from day one. Long shot, but the paper makes it worth one email.</t>
  </si>
  <si>
    <t xml:space="preserve">BCG X Finance Intern</t>
  </si>
  <si>
    <t xml:space="preserve">Boston Consulting Group (BCG)</t>
  </si>
  <si>
    <t xml:space="preserve">#7 Analytics Consultant</t>
  </si>
  <si>
    <t xml:space="preserve">BCG X is the analytics arm; the brand alone changes what your next application looks like.</t>
  </si>
  <si>
    <t xml:space="preserve">Almost certainly campus-gated and finance-scoped. Confirm BIT Mesra eligibility first.</t>
  </si>
  <si>
    <t xml:space="preserve">Product Analyst Intern</t>
  </si>
  <si>
    <t xml:space="preserve">Amber</t>
  </si>
  <si>
    <t xml:space="preserve">#14 Product Analyst</t>
  </si>
  <si>
    <t xml:space="preserve">Clean intern-level product analytics seat; your experimentation depth is above the usual bar for this title.</t>
  </si>
  <si>
    <t xml:space="preserve">No Amplitude/Mixpanel on your resume and no consumer-product context.</t>
  </si>
  <si>
    <t xml:space="preserve">Python AI Intern</t>
  </si>
  <si>
    <t xml:space="preserve">techolution</t>
  </si>
  <si>
    <t xml:space="preserve">Straightforward Python/AI intern seat, recently posted.</t>
  </si>
  <si>
    <t xml:space="preserve">Services firm - work quality varies a lot by account.</t>
  </si>
  <si>
    <t xml:space="preserve">Summer Associate, PI (Campus) - Global Capability Center</t>
  </si>
  <si>
    <t xml:space="preserve">Alvarez &amp; Marsal</t>
  </si>
  <si>
    <t xml:space="preserve">Consulting summer seat; your DSS sponsorship work is the client-facing evidence they screen for.</t>
  </si>
  <si>
    <t xml:space="preserve">Marked '(Campus)' - verify BIT Mesra is on their target list before spending effort.</t>
  </si>
  <si>
    <t xml:space="preserve">Quantitative Trader</t>
  </si>
  <si>
    <t xml:space="preserve">39k Group</t>
  </si>
  <si>
    <t xml:space="preserve">Crypto trading desk - again Python-first and open to non-traditional backgrounds.</t>
  </si>
  <si>
    <t xml:space="preserve">Trading seats test mental maths and probability under time pressure. Prepare specifically.</t>
  </si>
  <si>
    <t xml:space="preserve">AI/ML Engineering Intern</t>
  </si>
  <si>
    <t xml:space="preserve">Daice Labs</t>
  </si>
  <si>
    <t xml:space="preserve">India (remote)</t>
  </si>
  <si>
    <t xml:space="preserve">Remote intern seat, so no relocation from Ranchi required.</t>
  </si>
  <si>
    <t xml:space="preserve">Unverified small company. Do a due-diligence pass before applying.</t>
  </si>
  <si>
    <t xml:space="preserve">Software Engineering Intern</t>
  </si>
  <si>
    <t xml:space="preserve">Freight Tiger</t>
  </si>
  <si>
    <t xml:space="preserve">General SWE intern seat; your modular codebase and pytest suite are the relevant evidence.</t>
  </si>
  <si>
    <t xml:space="preserve">Not a data role. Take it only as internship-gap insurance.</t>
  </si>
  <si>
    <t xml:space="preserve">Data Intern</t>
  </si>
  <si>
    <t xml:space="preserve">Inspire Institute of Sport</t>
  </si>
  <si>
    <t xml:space="preserve">Vijayanagara, KA</t>
  </si>
  <si>
    <t xml:space="preserve">Sports analytics - small team, so likely broad ownership.</t>
  </si>
  <si>
    <t xml:space="preserve">Remote location and narrow domain. Lowest ceiling on this list.</t>
  </si>
  <si>
    <t xml:space="preserve">298 postings pulled from LinkedIn on 15 Sep 2026; 41 kept. This sheet is what was thrown away, and why.</t>
  </si>
  <si>
    <t xml:space="preserve">What was excluded</t>
  </si>
  <si>
    <t xml:space="preserve">What it looked like</t>
  </si>
  <si>
    <t xml:space="preserve">Why it is excluded</t>
  </si>
  <si>
    <t xml:space="preserve">Devryxa / Dexter's Tech / Vortenza Systems</t>
  </si>
  <si>
    <t xml:space="preserve">~12 near-identical 'Data Science Intern', 'ML Intern' and 'Business Analytics Intern' posts, all dated the same day, no company footprint</t>
  </si>
  <si>
    <t xml:space="preserve">Lead-generation listings. Applying hands over your contact details and nothing else.</t>
  </si>
  <si>
    <t xml:space="preserve">Crossing Infotech / MediNex Workforce</t>
  </si>
  <si>
    <t xml:space="preserve">Keyword-stuffed titles ('Entry Level | Fresher | Python, Pandas, SQL | Remote'), posted in duplicate under both names</t>
  </si>
  <si>
    <t xml:space="preserve">The same posting under two staffing shells - a resume-harvesting pattern.</t>
  </si>
  <si>
    <t xml:space="preserve">Unified Mentor / internmo / UM IT Solutions / SKOOLLAGE</t>
  </si>
  <si>
    <t xml:space="preserve">'Internships' that are paid training programmes</t>
  </si>
  <si>
    <t xml:space="preserve">You pay them. Courses sold as jobs.</t>
  </si>
  <si>
    <t xml:space="preserve">Nexal IIT / Zetheta Algorithms / F6IT / TalentXM</t>
  </si>
  <si>
    <t xml:space="preserve">Unverifiable entities posting senior titles at intern volume</t>
  </si>
  <si>
    <t xml:space="preserve">No verifiable company behind the listing.</t>
  </si>
  <si>
    <t xml:space="preserve">VRINDA INTERNATIONAL / SourcingXPress / ASTIKA / Hire Feed / all things talent</t>
  </si>
  <si>
    <t xml:space="preserve">Generic 'Data Scientist' reposts across multiple cities</t>
  </si>
  <si>
    <t xml:space="preserve">Recruiter reposts of other firms' reqs. Apply to the actual employer instead.</t>
  </si>
  <si>
    <t xml:space="preserve">Bain &amp; Company - Intern Analyst, Batch of 2027</t>
  </si>
  <si>
    <t xml:space="preserve">Four postings, each named for a specific campus (VNIT Nagpur, PEC Chandigarh)</t>
  </si>
  <si>
    <t xml:space="preserve">Campus-exclusive. You are not eligible from BIT Mesra.</t>
  </si>
  <si>
    <t xml:space="preserve">NVIDIA - PhD Intern, AI ML in Wireless</t>
  </si>
  <si>
    <t xml:space="preserve">Explicitly PhD-only</t>
  </si>
  <si>
    <t xml:space="preserve">Hard eligibility gate.</t>
  </si>
  <si>
    <t xml:space="preserve">~110 Senior / Principal / Staff / Lead / VP / Manager Data Scientist roles</t>
  </si>
  <si>
    <t xml:space="preserve">Walmart, Microsoft, Atlassian, Citi, Fractal, NielsenIQ, Amgen, Takeda, Mastercard and others</t>
  </si>
  <si>
    <t xml:space="preserve">6-12+ years required. LinkedIn's 'entry level' filter returned these anyway - it filters on the poster's tag, not the actual requirement.</t>
  </si>
  <si>
    <t xml:space="preserve">EXL - Senior Executive / Assistant Manager / Lead Assistant Manager</t>
  </si>
  <si>
    <t xml:space="preserve">Eight postings</t>
  </si>
  <si>
    <t xml:space="preserve">Mid-career grades despite analyst-sounding titles.</t>
  </si>
  <si>
    <t xml:space="preserve">WorldQuant / Millennium / Trexquant (Experienced Hires) / Goldman Associate / Morgan Stanley Manager</t>
  </si>
  <si>
    <t xml:space="preserve">Quant roles at experienced-hire grade</t>
  </si>
  <si>
    <t xml:space="preserve">Right domain, wrong level. Revisit after two years or a strong internship.</t>
  </si>
  <si>
    <t xml:space="preserve">How the match score works</t>
  </si>
  <si>
    <t xml:space="preserve">Component</t>
  </si>
  <si>
    <t xml:space="preserve">Max</t>
  </si>
  <si>
    <t xml:space="preserve">What it measures</t>
  </si>
  <si>
    <t xml:space="preserve">Title fit</t>
  </si>
  <si>
    <t xml:space="preserve">How closely the posted title maps to one of your 20 target titles.</t>
  </si>
  <si>
    <t xml:space="preserve">Level fit</t>
  </si>
  <si>
    <t xml:space="preserve">Whether you can actually apply today. Intern and explicit early-career postings score high; 'Senior', 'Lead' and graded bank titles score low regardless of how well the work matches.</t>
  </si>
  <si>
    <t xml:space="preserve">Skill overlap</t>
  </si>
  <si>
    <t xml:space="preserve">Proportion of the role's stated stack you already evidence on the master CV. Gaps you do not have (Power BI, SAS, C++, Spark) pull this down.</t>
  </si>
  <si>
    <t xml:space="preserve">Employer signal</t>
  </si>
  <si>
    <t xml:space="preserve">Whether the employer is real, reputable and worth your application time.</t>
  </si>
  <si>
    <t xml:space="preserve">Sum of the four. A ranking device, not a probability of getting hired.</t>
  </si>
  <si>
    <t xml:space="preserve">Verdict bands</t>
  </si>
  <si>
    <t xml:space="preserve">Apply this week</t>
  </si>
  <si>
    <t xml:space="preserve">85-100</t>
  </si>
  <si>
    <t xml:space="preserve">Strong on both fit and eligibility. Start here.</t>
  </si>
  <si>
    <t xml:space="preserve">Strong - apply</t>
  </si>
  <si>
    <t xml:space="preserve">78-84</t>
  </si>
  <si>
    <t xml:space="preserve">Good match with one soft spot, usually level.</t>
  </si>
  <si>
    <t xml:space="preserve">Worth a shot</t>
  </si>
  <si>
    <t xml:space="preserve">70-77</t>
  </si>
  <si>
    <t xml:space="preserve">A real mismatch somewhere, but the upside justifies an application.</t>
  </si>
  <si>
    <t xml:space="preserve">Stretch</t>
  </si>
  <si>
    <t xml:space="preserve">below 70</t>
  </si>
  <si>
    <t xml:space="preserve">Only with a referral or spare capacity.</t>
  </si>
  <si>
    <t xml:space="preserve">Which CV to use</t>
  </si>
  <si>
    <t xml:space="preserve">Quant &amp; Risk</t>
  </si>
  <si>
    <t xml:space="preserve">Quant Research, Quant Developer, Model Risk, Credit Risk</t>
  </si>
  <si>
    <t xml:space="preserve">Data / Decision Science</t>
  </si>
  <si>
    <t xml:space="preserve">Data Scientist, Decision Scientist, Analytics Consultant, Product Analyst</t>
  </si>
  <si>
    <t xml:space="preserve">Analyst</t>
  </si>
  <si>
    <t xml:space="preserve">Data Analyst, Business Analyst, BI Analyst</t>
  </si>
  <si>
    <t xml:space="preserve">Engineering</t>
  </si>
  <si>
    <t xml:space="preserve">ML Engineer, Data Engineer, GenAI Engineer</t>
  </si>
  <si>
    <t xml:space="preserve">Research</t>
  </si>
  <si>
    <t xml:space="preserve">Applied Scientist, Research Analyst (Econ), OR Analyst</t>
  </si>
  <si>
    <t xml:space="preserve">Life Sciences</t>
  </si>
  <si>
    <t xml:space="preserve">Pharma Commercial Analytics, RWE, Statistical Programmer</t>
  </si>
  <si>
    <t xml:space="preserve">Honest caveats</t>
  </si>
  <si>
    <t xml:space="preserve">Scores are judgement, not measurement</t>
  </si>
  <si>
    <t xml:space="preserve">Read off the posting title, company and level against your CV - not the full job description. Re-check against the actual JD before applying.</t>
  </si>
  <si>
    <t xml:space="preserve">Indeed is not in this data</t>
  </si>
  <si>
    <t xml:space="preserve">Indeed's bot protection refused the session after two attempts. Its listings largely duplicate LinkedIn's.</t>
  </si>
  <si>
    <t xml:space="preserve">Coverage is six searches, not twenty</t>
  </si>
  <si>
    <t xml:space="preserve">LinkedIn's guest view cut the session off after six queries. Covered: data science intern, ML intern, data analyst intern, quantitative analyst, decision scientist, data scientist. Under-represented: data engineer, business analyst, product analyst, credit risk, BI analyst, statistical programmer, operations research.</t>
  </si>
  <si>
    <t xml:space="preserve">Postings expire</t>
  </si>
  <si>
    <t xml:space="preserve">Everything here was live on 15 Sep 2026. Anything posted before 1 September may already be closed.</t>
  </si>
  <si>
    <t xml:space="preserve">Amgen is hiring in Hyderabad</t>
  </si>
  <si>
    <t xml:space="preserve">Their open role is Senior Data Scientist - too senior by years, so it is excluded. Set a LinkedIn alert on Amgen India and use the PHA CV when an associate or graduate seat appears.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</si>
</sst>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1F3864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i val="true"/>
      <sz val="10"/>
      <color rgb="FF833C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833C00"/>
        <bgColor rgb="FF9C57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BBD591"/>
          <bgColor rgb="FF000000"/>
        </patternFill>
      </fill>
    </dxf>
    <dxf>
      <fill>
        <patternFill patternType="solid">
          <fgColor rgb="FFC6D892"/>
          <bgColor rgb="FF000000"/>
        </patternFill>
      </fill>
    </dxf>
    <dxf>
      <fill>
        <patternFill patternType="solid">
          <fgColor rgb="FFCCD993"/>
          <bgColor rgb="FF000000"/>
        </patternFill>
      </fill>
    </dxf>
    <dxf>
      <fill>
        <patternFill patternType="solid">
          <fgColor rgb="FFD2DB94"/>
          <bgColor rgb="FF000000"/>
        </patternFill>
      </fill>
    </dxf>
    <dxf>
      <fill>
        <patternFill patternType="solid">
          <fgColor rgb="FFD7DC94"/>
          <bgColor rgb="FF000000"/>
        </patternFill>
      </fill>
    </dxf>
    <dxf>
      <fill>
        <patternFill patternType="solid">
          <fgColor rgb="FFDDDE95"/>
          <bgColor rgb="FF000000"/>
        </patternFill>
      </fill>
    </dxf>
    <dxf>
      <fill>
        <patternFill patternType="solid">
          <fgColor rgb="FFE3DF96"/>
          <bgColor rgb="FF000000"/>
        </patternFill>
      </fill>
    </dxf>
    <dxf>
      <fill>
        <patternFill patternType="solid">
          <fgColor rgb="FFE9E197"/>
          <bgColor rgb="FF000000"/>
        </patternFill>
      </fill>
    </dxf>
    <dxf>
      <fill>
        <patternFill patternType="solid">
          <fgColor rgb="FFEEE297"/>
          <bgColor rgb="FF000000"/>
        </patternFill>
      </fill>
    </dxf>
    <dxf>
      <fill>
        <patternFill patternType="solid">
          <fgColor rgb="FFF4E498"/>
          <bgColor rgb="FF000000"/>
        </patternFill>
      </fill>
    </dxf>
    <dxf>
      <fill>
        <patternFill patternType="solid">
          <fgColor rgb="FFF5B986"/>
          <bgColor rgb="FF000000"/>
        </patternFill>
      </fill>
    </dxf>
    <dxf>
      <fill>
        <patternFill patternType="solid">
          <fgColor rgb="FFF7C28A"/>
          <bgColor rgb="FF000000"/>
        </patternFill>
      </fill>
    </dxf>
    <dxf>
      <fill>
        <patternFill patternType="solid">
          <fgColor rgb="FFF8C78C"/>
          <bgColor rgb="FF000000"/>
        </patternFill>
      </fill>
    </dxf>
    <dxf>
      <fill>
        <patternFill patternType="solid">
          <fgColor rgb="FFF9CB8E"/>
          <bgColor rgb="FF000000"/>
        </patternFill>
      </fill>
    </dxf>
    <dxf>
      <fill>
        <patternFill patternType="solid">
          <fgColor rgb="FFFACF8F"/>
          <bgColor rgb="FF000000"/>
        </patternFill>
      </fill>
    </dxf>
    <dxf>
      <fill>
        <patternFill patternType="solid">
          <fgColor rgb="FFFAE599"/>
          <bgColor rgb="FF000000"/>
        </patternFill>
      </fill>
    </dxf>
    <dxf>
      <fill>
        <patternFill patternType="solid">
          <fgColor rgb="FFFCD893"/>
          <bgColor rgb="FF000000"/>
        </patternFill>
      </fill>
    </dxf>
    <dxf>
      <fill>
        <patternFill patternType="solid">
          <fgColor rgb="FFFDDD95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1F6F3D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1F6F3D"/>
        <sz val="9"/>
      </font>
    </dxf>
    <dxf>
      <font>
        <name val="Arial"/>
        <charset val="1"/>
        <family val="0"/>
        <color rgb="FF9C5700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D"/>
      <rgbColor rgb="FF000080"/>
      <rgbColor rgb="FF9C57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n.linkedin.com/jobs/view/intern-ai-ml-at-tower-research-capital-4456746255" TargetMode="External"/><Relationship Id="rId2" Type="http://schemas.openxmlformats.org/officeDocument/2006/relationships/hyperlink" Target="https://in.linkedin.com/jobs/view/quantitative-researcher-early-career-india-at-trexquant-investment-lp-4317149828" TargetMode="External"/><Relationship Id="rId3" Type="http://schemas.openxmlformats.org/officeDocument/2006/relationships/hyperlink" Target="https://in.linkedin.com/jobs/view/research-sciences-intern-at-microsoft-4456711333" TargetMode="External"/><Relationship Id="rId4" Type="http://schemas.openxmlformats.org/officeDocument/2006/relationships/hyperlink" Target="https://in.linkedin.com/jobs/view/research-intern-ai-at-ge-healthcare-4461088583" TargetMode="External"/><Relationship Id="rId5" Type="http://schemas.openxmlformats.org/officeDocument/2006/relationships/hyperlink" Target="https://in.linkedin.com/jobs/view/internship-trainee-ai-engg-at-crisil-4456879321" TargetMode="External"/><Relationship Id="rId6" Type="http://schemas.openxmlformats.org/officeDocument/2006/relationships/hyperlink" Target="https://in.linkedin.com/jobs/view/exposure-modelling-summer-intern-at-moody-s-corporation-4464352847" TargetMode="External"/><Relationship Id="rId7" Type="http://schemas.openxmlformats.org/officeDocument/2006/relationships/hyperlink" Target="https://in.linkedin.com/jobs/view/data-and-ai-engineering-intern-at-electronic-arts-ea-4463038741" TargetMode="External"/><Relationship Id="rId8" Type="http://schemas.openxmlformats.org/officeDocument/2006/relationships/hyperlink" Target="https://in.linkedin.com/jobs/view/data-analyst-project-intern-training-quality-2026-start-bs-ms-at-bytedance-4437437416" TargetMode="External"/><Relationship Id="rId9" Type="http://schemas.openxmlformats.org/officeDocument/2006/relationships/hyperlink" Target="https://in.linkedin.com/jobs/view/data-science-intern-at-houlihan-lokey-4461799463" TargetMode="External"/><Relationship Id="rId10" Type="http://schemas.openxmlformats.org/officeDocument/2006/relationships/hyperlink" Target="https://in.linkedin.com/jobs/view/quantitative-research-analyst-at-groww-4461950697" TargetMode="External"/><Relationship Id="rId11" Type="http://schemas.openxmlformats.org/officeDocument/2006/relationships/hyperlink" Target="https://in.linkedin.com/jobs/view/research-intern-at-council-on-energy-environment-and-water-ceew-4464770511" TargetMode="External"/><Relationship Id="rId12" Type="http://schemas.openxmlformats.org/officeDocument/2006/relationships/hyperlink" Target="https://in.linkedin.com/jobs/view/intern-ai-engineering-at-nuvama-group-4452595267" TargetMode="External"/><Relationship Id="rId13" Type="http://schemas.openxmlformats.org/officeDocument/2006/relationships/hyperlink" Target="https://in.linkedin.com/jobs/view/associate-decision-science-at-axtria-ingenious-insights-4408167685" TargetMode="External"/><Relationship Id="rId14" Type="http://schemas.openxmlformats.org/officeDocument/2006/relationships/hyperlink" Target="https://in.linkedin.com/jobs/view/decision-scientist-at-tesco-bengaluru-4465567621" TargetMode="External"/><Relationship Id="rId15" Type="http://schemas.openxmlformats.org/officeDocument/2006/relationships/hyperlink" Target="https://in.linkedin.com/jobs/view/speech-recognition-intern-at-sony-research-india-4464934971" TargetMode="External"/><Relationship Id="rId16" Type="http://schemas.openxmlformats.org/officeDocument/2006/relationships/hyperlink" Target="https://in.linkedin.com/jobs/view/quantitative-researcher-at-imc-trading-4404282005" TargetMode="External"/><Relationship Id="rId17" Type="http://schemas.openxmlformats.org/officeDocument/2006/relationships/hyperlink" Target="https://in.linkedin.com/jobs/view/ai-software-intern-trainee-pune-india-at-panasonic-avionics-corporation-4466557018" TargetMode="External"/><Relationship Id="rId18" Type="http://schemas.openxmlformats.org/officeDocument/2006/relationships/hyperlink" Target="https://in.linkedin.com/jobs/view/automation-ai-intern-for-blade-structural-design-process-at-siemens-gamesa-4464503985" TargetMode="External"/><Relationship Id="rId19" Type="http://schemas.openxmlformats.org/officeDocument/2006/relationships/hyperlink" Target="https://in.linkedin.com/jobs/view/udaan-data-analytics-at-myntra-4420409112" TargetMode="External"/><Relationship Id="rId20" Type="http://schemas.openxmlformats.org/officeDocument/2006/relationships/hyperlink" Target="https://in.linkedin.com/jobs/view/analytics-intern-at-policybazaar-ae-4459901759" TargetMode="External"/><Relationship Id="rId21" Type="http://schemas.openxmlformats.org/officeDocument/2006/relationships/hyperlink" Target="https://in.linkedin.com/jobs/view/data-analyst-data-engineer-intern-at-dehaat-4455603847" TargetMode="External"/><Relationship Id="rId22" Type="http://schemas.openxmlformats.org/officeDocument/2006/relationships/hyperlink" Target="https://in.linkedin.com/jobs/view/risk-analyst-model-risk-management-at-ice-4462015784" TargetMode="External"/><Relationship Id="rId23" Type="http://schemas.openxmlformats.org/officeDocument/2006/relationships/hyperlink" Target="https://in.linkedin.com/jobs/view/analyst-data-science-at-american-express-4466198681" TargetMode="External"/><Relationship Id="rId24" Type="http://schemas.openxmlformats.org/officeDocument/2006/relationships/hyperlink" Target="https://in.linkedin.com/jobs/view/graduate-apprenticeship-trainee-ai-ml-at-bruker-4465818319" TargetMode="External"/><Relationship Id="rId25" Type="http://schemas.openxmlformats.org/officeDocument/2006/relationships/hyperlink" Target="https://in.linkedin.com/jobs/view/ai-ml-intern-generative-ai-llm-at-webknot-technologies-4454616072" TargetMode="External"/><Relationship Id="rId26" Type="http://schemas.openxmlformats.org/officeDocument/2006/relationships/hyperlink" Target="https://in.linkedin.com/jobs/view/risk-management-risk-methodology-model-performance-monitoring-analyst-at-nomura-4459158356" TargetMode="External"/><Relationship Id="rId27" Type="http://schemas.openxmlformats.org/officeDocument/2006/relationships/hyperlink" Target="https://in.linkedin.com/jobs/view/it-internship-program-january-june-2027-at-edwards-lifesciences-4465299133" TargetMode="External"/><Relationship Id="rId28" Type="http://schemas.openxmlformats.org/officeDocument/2006/relationships/hyperlink" Target="https://in.linkedin.com/jobs/view/quant-researcher-at-coindcx-4457366420" TargetMode="External"/><Relationship Id="rId29" Type="http://schemas.openxmlformats.org/officeDocument/2006/relationships/hyperlink" Target="https://in.linkedin.com/jobs/view/modeling-centre-of-excellence-forecasting-analyst-at-jpmorganchase-4441912718" TargetMode="External"/><Relationship Id="rId30" Type="http://schemas.openxmlformats.org/officeDocument/2006/relationships/hyperlink" Target="https://in.linkedin.com/jobs/view/information-technology-intern-at-procter-gamble-4459289674" TargetMode="External"/><Relationship Id="rId31" Type="http://schemas.openxmlformats.org/officeDocument/2006/relationships/hyperlink" Target="https://in.linkedin.com/jobs/view/evaluation-insights-intern-ai-delivery-at-blue-machines-ai-4464468962" TargetMode="External"/><Relationship Id="rId32" Type="http://schemas.openxmlformats.org/officeDocument/2006/relationships/hyperlink" Target="https://in.linkedin.com/jobs/view/aqe-research-analyst-officer-at-state-street-4456418137" TargetMode="External"/><Relationship Id="rId33" Type="http://schemas.openxmlformats.org/officeDocument/2006/relationships/hyperlink" Target="https://in.linkedin.com/jobs/view/quant-trader-researcher-options-systematic-derivatives-at-northstar-quant-4454993478" TargetMode="External"/><Relationship Id="rId34" Type="http://schemas.openxmlformats.org/officeDocument/2006/relationships/hyperlink" Target="https://in.linkedin.com/jobs/view/bcg-x-finance-intern-at-boston-consulting-group-bcg-4455647003" TargetMode="External"/><Relationship Id="rId35" Type="http://schemas.openxmlformats.org/officeDocument/2006/relationships/hyperlink" Target="https://in.linkedin.com/jobs/view/product-analyst-intern-at-amber-4465046957" TargetMode="External"/><Relationship Id="rId36" Type="http://schemas.openxmlformats.org/officeDocument/2006/relationships/hyperlink" Target="https://in.linkedin.com/jobs/view/python-ai-intern-at-techolution-4466197990" TargetMode="External"/><Relationship Id="rId37" Type="http://schemas.openxmlformats.org/officeDocument/2006/relationships/hyperlink" Target="https://in.linkedin.com/jobs/view/summer-associate-pi-campus-global-capability-center-at-alvarez-marsal-4455770517" TargetMode="External"/><Relationship Id="rId38" Type="http://schemas.openxmlformats.org/officeDocument/2006/relationships/hyperlink" Target="https://in.linkedin.com/jobs/view/quantitative-trader-at-39k-group-4463951483" TargetMode="External"/><Relationship Id="rId39" Type="http://schemas.openxmlformats.org/officeDocument/2006/relationships/hyperlink" Target="https://in.linkedin.com/jobs/view/ai-ml-engineering-intern-at-daice-labs-4463551650" TargetMode="External"/><Relationship Id="rId40" Type="http://schemas.openxmlformats.org/officeDocument/2006/relationships/hyperlink" Target="https://in.linkedin.com/jobs/view/software-engineering-intern-at-freight-tiger-4465608884" TargetMode="External"/><Relationship Id="rId41" Type="http://schemas.openxmlformats.org/officeDocument/2006/relationships/hyperlink" Target="https://in.linkedin.com/jobs/view/data-intern-at-inspire-institute-of-sport-4455576264" TargetMode="External"/><Relationship Id="rId4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31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6"/>
    <col collapsed="false" customWidth="true" hidden="false" outlineLevel="0" max="14" min="14" style="0" width="7"/>
    <col collapsed="false" customWidth="true" hidden="false" outlineLevel="0" max="15" min="15" style="0" width="64"/>
    <col collapsed="false" customWidth="true" hidden="false" outlineLevel="0" max="16" min="16" style="0" width="54"/>
    <col collapsed="false" customWidth="true" hidden="false" outlineLevel="0" max="17" min="17" style="0" width="7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2.35" hidden="false" customHeight="false" outlineLevel="0" collapsed="false">
      <c r="A2" s="2" t="n">
        <v>1</v>
      </c>
      <c r="B2" s="3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3" t="s">
        <v>22</v>
      </c>
      <c r="H2" s="2" t="n">
        <v>28</v>
      </c>
      <c r="I2" s="2" t="n">
        <v>30</v>
      </c>
      <c r="J2" s="2" t="n">
        <v>23</v>
      </c>
      <c r="K2" s="2" t="n">
        <v>14</v>
      </c>
      <c r="L2" s="5" t="n">
        <f aca="false">SUM(H2:K2)</f>
        <v>95</v>
      </c>
      <c r="M2" s="4" t="str">
        <f aca="false">IF(L2&gt;=85,"Apply this week",IF(L2&gt;=78,"Strong - apply",IF(L2&gt;=70,"Worth a shot","Stretch")))</f>
        <v>Apply this week</v>
      </c>
      <c r="N2" s="6" t="s">
        <v>23</v>
      </c>
      <c r="O2" s="3" t="s">
        <v>24</v>
      </c>
      <c r="P2" s="3" t="s">
        <v>25</v>
      </c>
      <c r="Q2" s="7" t="s">
        <v>26</v>
      </c>
    </row>
    <row r="3" customFormat="false" ht="22.35" hidden="false" customHeight="false" outlineLevel="0" collapsed="false">
      <c r="A3" s="2" t="n">
        <v>2</v>
      </c>
      <c r="B3" s="3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3" t="s">
        <v>32</v>
      </c>
      <c r="H3" s="2" t="n">
        <v>30</v>
      </c>
      <c r="I3" s="2" t="n">
        <v>26</v>
      </c>
      <c r="J3" s="2" t="n">
        <v>23</v>
      </c>
      <c r="K3" s="2" t="n">
        <v>13</v>
      </c>
      <c r="L3" s="5" t="n">
        <f aca="false">SUM(H3:K3)</f>
        <v>92</v>
      </c>
      <c r="M3" s="4" t="str">
        <f aca="false">IF(L3&gt;=85,"Apply this week",IF(L3&gt;=78,"Strong - apply",IF(L3&gt;=70,"Worth a shot","Stretch")))</f>
        <v>Apply this week</v>
      </c>
      <c r="N3" s="6" t="s">
        <v>23</v>
      </c>
      <c r="O3" s="3" t="s">
        <v>33</v>
      </c>
      <c r="P3" s="3" t="s">
        <v>34</v>
      </c>
      <c r="Q3" s="7" t="s">
        <v>26</v>
      </c>
    </row>
    <row r="4" customFormat="false" ht="22.35" hidden="false" customHeight="false" outlineLevel="0" collapsed="false">
      <c r="A4" s="2" t="n">
        <v>3</v>
      </c>
      <c r="B4" s="3" t="s">
        <v>35</v>
      </c>
      <c r="C4" s="4" t="s">
        <v>36</v>
      </c>
      <c r="D4" s="4" t="s">
        <v>37</v>
      </c>
      <c r="E4" s="4" t="s">
        <v>20</v>
      </c>
      <c r="F4" s="4" t="s">
        <v>38</v>
      </c>
      <c r="G4" s="3" t="s">
        <v>39</v>
      </c>
      <c r="H4" s="2" t="n">
        <v>27</v>
      </c>
      <c r="I4" s="2" t="n">
        <v>29</v>
      </c>
      <c r="J4" s="2" t="n">
        <v>21</v>
      </c>
      <c r="K4" s="2" t="n">
        <v>15</v>
      </c>
      <c r="L4" s="5" t="n">
        <f aca="false">SUM(H4:K4)</f>
        <v>92</v>
      </c>
      <c r="M4" s="4" t="str">
        <f aca="false">IF(L4&gt;=85,"Apply this week",IF(L4&gt;=78,"Strong - apply",IF(L4&gt;=70,"Worth a shot","Stretch")))</f>
        <v>Apply this week</v>
      </c>
      <c r="N4" s="6" t="s">
        <v>40</v>
      </c>
      <c r="O4" s="3" t="s">
        <v>41</v>
      </c>
      <c r="P4" s="3" t="s">
        <v>42</v>
      </c>
      <c r="Q4" s="7" t="s">
        <v>26</v>
      </c>
    </row>
    <row r="5" customFormat="false" ht="22.35" hidden="false" customHeight="false" outlineLevel="0" collapsed="false">
      <c r="A5" s="2" t="n">
        <v>4</v>
      </c>
      <c r="B5" s="3" t="s">
        <v>43</v>
      </c>
      <c r="C5" s="4" t="s">
        <v>44</v>
      </c>
      <c r="D5" s="4" t="s">
        <v>37</v>
      </c>
      <c r="E5" s="4" t="s">
        <v>20</v>
      </c>
      <c r="F5" s="4" t="s">
        <v>45</v>
      </c>
      <c r="G5" s="3" t="s">
        <v>46</v>
      </c>
      <c r="H5" s="2" t="n">
        <v>26</v>
      </c>
      <c r="I5" s="2" t="n">
        <v>29</v>
      </c>
      <c r="J5" s="2" t="n">
        <v>21</v>
      </c>
      <c r="K5" s="2" t="n">
        <v>14</v>
      </c>
      <c r="L5" s="5" t="n">
        <f aca="false">SUM(H5:K5)</f>
        <v>90</v>
      </c>
      <c r="M5" s="4" t="str">
        <f aca="false">IF(L5&gt;=85,"Apply this week",IF(L5&gt;=78,"Strong - apply",IF(L5&gt;=70,"Worth a shot","Stretch")))</f>
        <v>Apply this week</v>
      </c>
      <c r="N5" s="6" t="s">
        <v>47</v>
      </c>
      <c r="O5" s="3" t="s">
        <v>48</v>
      </c>
      <c r="P5" s="3" t="s">
        <v>49</v>
      </c>
      <c r="Q5" s="7" t="s">
        <v>26</v>
      </c>
    </row>
    <row r="6" customFormat="false" ht="22.35" hidden="false" customHeight="false" outlineLevel="0" collapsed="false">
      <c r="A6" s="2" t="n">
        <v>5</v>
      </c>
      <c r="B6" s="3" t="s">
        <v>50</v>
      </c>
      <c r="C6" s="4" t="s">
        <v>51</v>
      </c>
      <c r="D6" s="4" t="s">
        <v>52</v>
      </c>
      <c r="E6" s="4" t="s">
        <v>20</v>
      </c>
      <c r="F6" s="4" t="s">
        <v>53</v>
      </c>
      <c r="G6" s="3" t="s">
        <v>54</v>
      </c>
      <c r="H6" s="2" t="n">
        <v>25</v>
      </c>
      <c r="I6" s="2" t="n">
        <v>29</v>
      </c>
      <c r="J6" s="2" t="n">
        <v>22</v>
      </c>
      <c r="K6" s="2" t="n">
        <v>13</v>
      </c>
      <c r="L6" s="5" t="n">
        <f aca="false">SUM(H6:K6)</f>
        <v>89</v>
      </c>
      <c r="M6" s="4" t="str">
        <f aca="false">IF(L6&gt;=85,"Apply this week",IF(L6&gt;=78,"Strong - apply",IF(L6&gt;=70,"Worth a shot","Stretch")))</f>
        <v>Apply this week</v>
      </c>
      <c r="N6" s="6" t="s">
        <v>40</v>
      </c>
      <c r="O6" s="3" t="s">
        <v>55</v>
      </c>
      <c r="P6" s="3" t="s">
        <v>56</v>
      </c>
      <c r="Q6" s="7" t="s">
        <v>26</v>
      </c>
    </row>
    <row r="7" customFormat="false" ht="22.35" hidden="false" customHeight="false" outlineLevel="0" collapsed="false">
      <c r="A7" s="2" t="n">
        <v>6</v>
      </c>
      <c r="B7" s="3" t="s">
        <v>57</v>
      </c>
      <c r="C7" s="4" t="s">
        <v>58</v>
      </c>
      <c r="D7" s="4" t="s">
        <v>59</v>
      </c>
      <c r="E7" s="4" t="s">
        <v>20</v>
      </c>
      <c r="F7" s="4" t="s">
        <v>60</v>
      </c>
      <c r="G7" s="3" t="s">
        <v>61</v>
      </c>
      <c r="H7" s="2" t="n">
        <v>26</v>
      </c>
      <c r="I7" s="2" t="n">
        <v>29</v>
      </c>
      <c r="J7" s="2" t="n">
        <v>21</v>
      </c>
      <c r="K7" s="2" t="n">
        <v>13</v>
      </c>
      <c r="L7" s="5" t="n">
        <f aca="false">SUM(H7:K7)</f>
        <v>89</v>
      </c>
      <c r="M7" s="4" t="str">
        <f aca="false">IF(L7&gt;=85,"Apply this week",IF(L7&gt;=78,"Strong - apply",IF(L7&gt;=70,"Worth a shot","Stretch")))</f>
        <v>Apply this week</v>
      </c>
      <c r="N7" s="6" t="s">
        <v>23</v>
      </c>
      <c r="O7" s="3" t="s">
        <v>62</v>
      </c>
      <c r="P7" s="3" t="s">
        <v>63</v>
      </c>
      <c r="Q7" s="7" t="s">
        <v>26</v>
      </c>
    </row>
    <row r="8" customFormat="false" ht="22.35" hidden="false" customHeight="false" outlineLevel="0" collapsed="false">
      <c r="A8" s="2" t="n">
        <v>7</v>
      </c>
      <c r="B8" s="3" t="s">
        <v>64</v>
      </c>
      <c r="C8" s="4" t="s">
        <v>65</v>
      </c>
      <c r="D8" s="4" t="s">
        <v>66</v>
      </c>
      <c r="E8" s="4" t="s">
        <v>20</v>
      </c>
      <c r="F8" s="4" t="s">
        <v>67</v>
      </c>
      <c r="G8" s="3" t="s">
        <v>68</v>
      </c>
      <c r="H8" s="2" t="n">
        <v>25</v>
      </c>
      <c r="I8" s="2" t="n">
        <v>29</v>
      </c>
      <c r="J8" s="2" t="n">
        <v>22</v>
      </c>
      <c r="K8" s="2" t="n">
        <v>13</v>
      </c>
      <c r="L8" s="5" t="n">
        <f aca="false">SUM(H8:K8)</f>
        <v>89</v>
      </c>
      <c r="M8" s="4" t="str">
        <f aca="false">IF(L8&gt;=85,"Apply this week",IF(L8&gt;=78,"Strong - apply",IF(L8&gt;=70,"Worth a shot","Stretch")))</f>
        <v>Apply this week</v>
      </c>
      <c r="N8" s="6" t="s">
        <v>69</v>
      </c>
      <c r="O8" s="3" t="s">
        <v>70</v>
      </c>
      <c r="P8" s="3" t="s">
        <v>71</v>
      </c>
      <c r="Q8" s="7" t="s">
        <v>26</v>
      </c>
    </row>
    <row r="9" customFormat="false" ht="22.35" hidden="false" customHeight="false" outlineLevel="0" collapsed="false">
      <c r="A9" s="2" t="n">
        <v>8</v>
      </c>
      <c r="B9" s="3" t="s">
        <v>72</v>
      </c>
      <c r="C9" s="4" t="s">
        <v>73</v>
      </c>
      <c r="D9" s="4" t="s">
        <v>19</v>
      </c>
      <c r="E9" s="4" t="s">
        <v>20</v>
      </c>
      <c r="F9" s="4" t="s">
        <v>67</v>
      </c>
      <c r="G9" s="3" t="s">
        <v>74</v>
      </c>
      <c r="H9" s="2" t="n">
        <v>24</v>
      </c>
      <c r="I9" s="2" t="n">
        <v>30</v>
      </c>
      <c r="J9" s="2" t="n">
        <v>20</v>
      </c>
      <c r="K9" s="2" t="n">
        <v>14</v>
      </c>
      <c r="L9" s="5" t="n">
        <f aca="false">SUM(H9:K9)</f>
        <v>88</v>
      </c>
      <c r="M9" s="4" t="str">
        <f aca="false">IF(L9&gt;=85,"Apply this week",IF(L9&gt;=78,"Strong - apply",IF(L9&gt;=70,"Worth a shot","Stretch")))</f>
        <v>Apply this week</v>
      </c>
      <c r="N9" s="6" t="s">
        <v>75</v>
      </c>
      <c r="O9" s="3" t="s">
        <v>76</v>
      </c>
      <c r="P9" s="3" t="s">
        <v>77</v>
      </c>
      <c r="Q9" s="7" t="s">
        <v>26</v>
      </c>
    </row>
    <row r="10" customFormat="false" ht="22.35" hidden="false" customHeight="false" outlineLevel="0" collapsed="false">
      <c r="A10" s="2" t="n">
        <v>9</v>
      </c>
      <c r="B10" s="3" t="s">
        <v>78</v>
      </c>
      <c r="C10" s="4" t="s">
        <v>79</v>
      </c>
      <c r="D10" s="4" t="s">
        <v>29</v>
      </c>
      <c r="E10" s="4" t="s">
        <v>20</v>
      </c>
      <c r="F10" s="4" t="s">
        <v>80</v>
      </c>
      <c r="G10" s="3" t="s">
        <v>81</v>
      </c>
      <c r="H10" s="2" t="n">
        <v>27</v>
      </c>
      <c r="I10" s="2" t="n">
        <v>29</v>
      </c>
      <c r="J10" s="2" t="n">
        <v>20</v>
      </c>
      <c r="K10" s="2" t="n">
        <v>12</v>
      </c>
      <c r="L10" s="5" t="n">
        <f aca="false">SUM(H10:K10)</f>
        <v>88</v>
      </c>
      <c r="M10" s="4" t="str">
        <f aca="false">IF(L10&gt;=85,"Apply this week",IF(L10&gt;=78,"Strong - apply",IF(L10&gt;=70,"Worth a shot","Stretch")))</f>
        <v>Apply this week</v>
      </c>
      <c r="N10" s="6" t="s">
        <v>23</v>
      </c>
      <c r="O10" s="3" t="s">
        <v>82</v>
      </c>
      <c r="P10" s="3" t="s">
        <v>83</v>
      </c>
      <c r="Q10" s="7" t="s">
        <v>26</v>
      </c>
    </row>
    <row r="11" customFormat="false" ht="22.35" hidden="false" customHeight="false" outlineLevel="0" collapsed="false">
      <c r="A11" s="2" t="n">
        <v>10</v>
      </c>
      <c r="B11" s="3" t="s">
        <v>84</v>
      </c>
      <c r="C11" s="4" t="s">
        <v>85</v>
      </c>
      <c r="D11" s="4" t="s">
        <v>37</v>
      </c>
      <c r="E11" s="4" t="s">
        <v>86</v>
      </c>
      <c r="F11" s="4" t="s">
        <v>87</v>
      </c>
      <c r="G11" s="3" t="s">
        <v>32</v>
      </c>
      <c r="H11" s="2" t="n">
        <v>29</v>
      </c>
      <c r="I11" s="2" t="n">
        <v>22</v>
      </c>
      <c r="J11" s="2" t="n">
        <v>23</v>
      </c>
      <c r="K11" s="2" t="n">
        <v>13</v>
      </c>
      <c r="L11" s="5" t="n">
        <f aca="false">SUM(H11:K11)</f>
        <v>87</v>
      </c>
      <c r="M11" s="4" t="str">
        <f aca="false">IF(L11&gt;=85,"Apply this week",IF(L11&gt;=78,"Strong - apply",IF(L11&gt;=70,"Worth a shot","Stretch")))</f>
        <v>Apply this week</v>
      </c>
      <c r="N11" s="6" t="s">
        <v>23</v>
      </c>
      <c r="O11" s="3" t="s">
        <v>88</v>
      </c>
      <c r="P11" s="3" t="s">
        <v>89</v>
      </c>
      <c r="Q11" s="7" t="s">
        <v>26</v>
      </c>
    </row>
    <row r="12" customFormat="false" ht="22.35" hidden="false" customHeight="false" outlineLevel="0" collapsed="false">
      <c r="A12" s="2" t="n">
        <v>11</v>
      </c>
      <c r="B12" s="3" t="s">
        <v>90</v>
      </c>
      <c r="C12" s="4" t="s">
        <v>91</v>
      </c>
      <c r="D12" s="4" t="s">
        <v>92</v>
      </c>
      <c r="E12" s="4" t="s">
        <v>20</v>
      </c>
      <c r="F12" s="4" t="s">
        <v>93</v>
      </c>
      <c r="G12" s="3" t="s">
        <v>94</v>
      </c>
      <c r="H12" s="2" t="n">
        <v>26</v>
      </c>
      <c r="I12" s="2" t="n">
        <v>30</v>
      </c>
      <c r="J12" s="2" t="n">
        <v>19</v>
      </c>
      <c r="K12" s="2" t="n">
        <v>11</v>
      </c>
      <c r="L12" s="5" t="n">
        <f aca="false">SUM(H12:K12)</f>
        <v>86</v>
      </c>
      <c r="M12" s="4" t="str">
        <f aca="false">IF(L12&gt;=85,"Apply this week",IF(L12&gt;=78,"Strong - apply",IF(L12&gt;=70,"Worth a shot","Stretch")))</f>
        <v>Apply this week</v>
      </c>
      <c r="N12" s="6" t="s">
        <v>40</v>
      </c>
      <c r="O12" s="3" t="s">
        <v>95</v>
      </c>
      <c r="P12" s="3" t="s">
        <v>96</v>
      </c>
      <c r="Q12" s="7" t="s">
        <v>26</v>
      </c>
    </row>
    <row r="13" customFormat="false" ht="22.35" hidden="false" customHeight="false" outlineLevel="0" collapsed="false">
      <c r="A13" s="2" t="n">
        <v>12</v>
      </c>
      <c r="B13" s="3" t="s">
        <v>97</v>
      </c>
      <c r="C13" s="4" t="s">
        <v>98</v>
      </c>
      <c r="D13" s="4" t="s">
        <v>99</v>
      </c>
      <c r="E13" s="4" t="s">
        <v>20</v>
      </c>
      <c r="F13" s="4" t="s">
        <v>100</v>
      </c>
      <c r="G13" s="3" t="s">
        <v>101</v>
      </c>
      <c r="H13" s="2" t="n">
        <v>23</v>
      </c>
      <c r="I13" s="2" t="n">
        <v>29</v>
      </c>
      <c r="J13" s="2" t="n">
        <v>21</v>
      </c>
      <c r="K13" s="2" t="n">
        <v>12</v>
      </c>
      <c r="L13" s="5" t="n">
        <f aca="false">SUM(H13:K13)</f>
        <v>85</v>
      </c>
      <c r="M13" s="4" t="str">
        <f aca="false">IF(L13&gt;=85,"Apply this week",IF(L13&gt;=78,"Strong - apply",IF(L13&gt;=70,"Worth a shot","Stretch")))</f>
        <v>Apply this week</v>
      </c>
      <c r="N13" s="6" t="s">
        <v>69</v>
      </c>
      <c r="O13" s="3" t="s">
        <v>102</v>
      </c>
      <c r="P13" s="3" t="s">
        <v>103</v>
      </c>
      <c r="Q13" s="7" t="s">
        <v>26</v>
      </c>
    </row>
    <row r="14" customFormat="false" ht="22.35" hidden="false" customHeight="false" outlineLevel="0" collapsed="false">
      <c r="A14" s="2" t="n">
        <v>13</v>
      </c>
      <c r="B14" s="3" t="s">
        <v>104</v>
      </c>
      <c r="C14" s="4" t="s">
        <v>105</v>
      </c>
      <c r="D14" s="4" t="s">
        <v>52</v>
      </c>
      <c r="E14" s="4" t="s">
        <v>86</v>
      </c>
      <c r="F14" s="4" t="s">
        <v>106</v>
      </c>
      <c r="G14" s="3" t="s">
        <v>107</v>
      </c>
      <c r="H14" s="2" t="n">
        <v>30</v>
      </c>
      <c r="I14" s="2" t="n">
        <v>21</v>
      </c>
      <c r="J14" s="2" t="n">
        <v>21</v>
      </c>
      <c r="K14" s="2" t="n">
        <v>12</v>
      </c>
      <c r="L14" s="5" t="n">
        <f aca="false">SUM(H14:K14)</f>
        <v>84</v>
      </c>
      <c r="M14" s="4" t="str">
        <f aca="false">IF(L14&gt;=85,"Apply this week",IF(L14&gt;=78,"Strong - apply",IF(L14&gt;=70,"Worth a shot","Stretch")))</f>
        <v>Strong - apply</v>
      </c>
      <c r="N14" s="6" t="s">
        <v>108</v>
      </c>
      <c r="O14" s="3" t="s">
        <v>109</v>
      </c>
      <c r="P14" s="3" t="s">
        <v>110</v>
      </c>
      <c r="Q14" s="7" t="s">
        <v>26</v>
      </c>
    </row>
    <row r="15" customFormat="false" ht="22.35" hidden="false" customHeight="false" outlineLevel="0" collapsed="false">
      <c r="A15" s="2" t="n">
        <v>14</v>
      </c>
      <c r="B15" s="3" t="s">
        <v>111</v>
      </c>
      <c r="C15" s="4" t="s">
        <v>112</v>
      </c>
      <c r="D15" s="4" t="s">
        <v>37</v>
      </c>
      <c r="E15" s="4" t="s">
        <v>86</v>
      </c>
      <c r="F15" s="4" t="s">
        <v>113</v>
      </c>
      <c r="G15" s="3" t="s">
        <v>114</v>
      </c>
      <c r="H15" s="2" t="n">
        <v>30</v>
      </c>
      <c r="I15" s="2" t="n">
        <v>20</v>
      </c>
      <c r="J15" s="2" t="n">
        <v>21</v>
      </c>
      <c r="K15" s="2" t="n">
        <v>13</v>
      </c>
      <c r="L15" s="5" t="n">
        <f aca="false">SUM(H15:K15)</f>
        <v>84</v>
      </c>
      <c r="M15" s="4" t="str">
        <f aca="false">IF(L15&gt;=85,"Apply this week",IF(L15&gt;=78,"Strong - apply",IF(L15&gt;=70,"Worth a shot","Stretch")))</f>
        <v>Strong - apply</v>
      </c>
      <c r="N15" s="6" t="s">
        <v>108</v>
      </c>
      <c r="O15" s="3" t="s">
        <v>115</v>
      </c>
      <c r="P15" s="3" t="s">
        <v>116</v>
      </c>
      <c r="Q15" s="7" t="s">
        <v>26</v>
      </c>
    </row>
    <row r="16" customFormat="false" ht="22.35" hidden="false" customHeight="false" outlineLevel="0" collapsed="false">
      <c r="A16" s="2" t="n">
        <v>15</v>
      </c>
      <c r="B16" s="3" t="s">
        <v>117</v>
      </c>
      <c r="C16" s="4" t="s">
        <v>118</v>
      </c>
      <c r="D16" s="4" t="s">
        <v>37</v>
      </c>
      <c r="E16" s="4" t="s">
        <v>20</v>
      </c>
      <c r="F16" s="4" t="s">
        <v>67</v>
      </c>
      <c r="G16" s="3" t="s">
        <v>39</v>
      </c>
      <c r="H16" s="2" t="n">
        <v>22</v>
      </c>
      <c r="I16" s="2" t="n">
        <v>29</v>
      </c>
      <c r="J16" s="2" t="n">
        <v>19</v>
      </c>
      <c r="K16" s="2" t="n">
        <v>14</v>
      </c>
      <c r="L16" s="5" t="n">
        <f aca="false">SUM(H16:K16)</f>
        <v>84</v>
      </c>
      <c r="M16" s="4" t="str">
        <f aca="false">IF(L16&gt;=85,"Apply this week",IF(L16&gt;=78,"Strong - apply",IF(L16&gt;=70,"Worth a shot","Stretch")))</f>
        <v>Strong - apply</v>
      </c>
      <c r="N16" s="6" t="s">
        <v>40</v>
      </c>
      <c r="O16" s="3" t="s">
        <v>119</v>
      </c>
      <c r="P16" s="3" t="s">
        <v>120</v>
      </c>
      <c r="Q16" s="7" t="s">
        <v>26</v>
      </c>
    </row>
    <row r="17" customFormat="false" ht="22.35" hidden="false" customHeight="false" outlineLevel="0" collapsed="false">
      <c r="A17" s="2" t="n">
        <v>16</v>
      </c>
      <c r="B17" s="3" t="s">
        <v>121</v>
      </c>
      <c r="C17" s="4" t="s">
        <v>122</v>
      </c>
      <c r="D17" s="4" t="s">
        <v>99</v>
      </c>
      <c r="E17" s="4" t="s">
        <v>86</v>
      </c>
      <c r="F17" s="4" t="s">
        <v>123</v>
      </c>
      <c r="G17" s="3" t="s">
        <v>32</v>
      </c>
      <c r="H17" s="2" t="n">
        <v>30</v>
      </c>
      <c r="I17" s="2" t="n">
        <v>16</v>
      </c>
      <c r="J17" s="2" t="n">
        <v>22</v>
      </c>
      <c r="K17" s="2" t="n">
        <v>15</v>
      </c>
      <c r="L17" s="5" t="n">
        <f aca="false">SUM(H17:K17)</f>
        <v>83</v>
      </c>
      <c r="M17" s="4" t="str">
        <f aca="false">IF(L17&gt;=85,"Apply this week",IF(L17&gt;=78,"Strong - apply",IF(L17&gt;=70,"Worth a shot","Stretch")))</f>
        <v>Strong - apply</v>
      </c>
      <c r="N17" s="6" t="s">
        <v>23</v>
      </c>
      <c r="O17" s="3" t="s">
        <v>124</v>
      </c>
      <c r="P17" s="3" t="s">
        <v>125</v>
      </c>
      <c r="Q17" s="7" t="s">
        <v>26</v>
      </c>
    </row>
    <row r="18" customFormat="false" ht="22.35" hidden="false" customHeight="false" outlineLevel="0" collapsed="false">
      <c r="A18" s="2" t="n">
        <v>17</v>
      </c>
      <c r="B18" s="3" t="s">
        <v>126</v>
      </c>
      <c r="C18" s="4" t="s">
        <v>127</v>
      </c>
      <c r="D18" s="4" t="s">
        <v>52</v>
      </c>
      <c r="E18" s="4" t="s">
        <v>20</v>
      </c>
      <c r="F18" s="4" t="s">
        <v>113</v>
      </c>
      <c r="G18" s="3" t="s">
        <v>128</v>
      </c>
      <c r="H18" s="2" t="n">
        <v>22</v>
      </c>
      <c r="I18" s="2" t="n">
        <v>30</v>
      </c>
      <c r="J18" s="2" t="n">
        <v>20</v>
      </c>
      <c r="K18" s="2" t="n">
        <v>11</v>
      </c>
      <c r="L18" s="5" t="n">
        <f aca="false">SUM(H18:K18)</f>
        <v>83</v>
      </c>
      <c r="M18" s="4" t="str">
        <f aca="false">IF(L18&gt;=85,"Apply this week",IF(L18&gt;=78,"Strong - apply",IF(L18&gt;=70,"Worth a shot","Stretch")))</f>
        <v>Strong - apply</v>
      </c>
      <c r="N18" s="6" t="s">
        <v>69</v>
      </c>
      <c r="O18" s="3" t="s">
        <v>129</v>
      </c>
      <c r="P18" s="3" t="s">
        <v>130</v>
      </c>
      <c r="Q18" s="7" t="s">
        <v>26</v>
      </c>
    </row>
    <row r="19" customFormat="false" ht="22.35" hidden="false" customHeight="false" outlineLevel="0" collapsed="false">
      <c r="A19" s="2" t="n">
        <v>18</v>
      </c>
      <c r="B19" s="3" t="s">
        <v>131</v>
      </c>
      <c r="C19" s="4" t="s">
        <v>132</v>
      </c>
      <c r="D19" s="4" t="s">
        <v>37</v>
      </c>
      <c r="E19" s="4" t="s">
        <v>20</v>
      </c>
      <c r="F19" s="4" t="s">
        <v>21</v>
      </c>
      <c r="G19" s="3" t="s">
        <v>133</v>
      </c>
      <c r="H19" s="2" t="n">
        <v>21</v>
      </c>
      <c r="I19" s="2" t="n">
        <v>30</v>
      </c>
      <c r="J19" s="2" t="n">
        <v>19</v>
      </c>
      <c r="K19" s="2" t="n">
        <v>13</v>
      </c>
      <c r="L19" s="5" t="n">
        <f aca="false">SUM(H19:K19)</f>
        <v>83</v>
      </c>
      <c r="M19" s="4" t="str">
        <f aca="false">IF(L19&gt;=85,"Apply this week",IF(L19&gt;=78,"Strong - apply",IF(L19&gt;=70,"Worth a shot","Stretch")))</f>
        <v>Strong - apply</v>
      </c>
      <c r="N19" s="6" t="s">
        <v>40</v>
      </c>
      <c r="O19" s="3" t="s">
        <v>134</v>
      </c>
      <c r="P19" s="3" t="s">
        <v>135</v>
      </c>
      <c r="Q19" s="7" t="s">
        <v>26</v>
      </c>
    </row>
    <row r="20" customFormat="false" ht="22.35" hidden="false" customHeight="false" outlineLevel="0" collapsed="false">
      <c r="A20" s="2" t="n">
        <v>19</v>
      </c>
      <c r="B20" s="3" t="s">
        <v>136</v>
      </c>
      <c r="C20" s="4" t="s">
        <v>137</v>
      </c>
      <c r="D20" s="4" t="s">
        <v>37</v>
      </c>
      <c r="E20" s="4" t="s">
        <v>138</v>
      </c>
      <c r="F20" s="4" t="s">
        <v>139</v>
      </c>
      <c r="G20" s="3" t="s">
        <v>140</v>
      </c>
      <c r="H20" s="2" t="n">
        <v>24</v>
      </c>
      <c r="I20" s="2" t="n">
        <v>27</v>
      </c>
      <c r="J20" s="2" t="n">
        <v>19</v>
      </c>
      <c r="K20" s="2" t="n">
        <v>13</v>
      </c>
      <c r="L20" s="5" t="n">
        <f aca="false">SUM(H20:K20)</f>
        <v>83</v>
      </c>
      <c r="M20" s="4" t="str">
        <f aca="false">IF(L20&gt;=85,"Apply this week",IF(L20&gt;=78,"Strong - apply",IF(L20&gt;=70,"Worth a shot","Stretch")))</f>
        <v>Strong - apply</v>
      </c>
      <c r="N20" s="6" t="s">
        <v>75</v>
      </c>
      <c r="O20" s="3" t="s">
        <v>141</v>
      </c>
      <c r="P20" s="3" t="s">
        <v>142</v>
      </c>
      <c r="Q20" s="7" t="s">
        <v>26</v>
      </c>
    </row>
    <row r="21" customFormat="false" ht="22.35" hidden="false" customHeight="false" outlineLevel="0" collapsed="false">
      <c r="A21" s="2" t="n">
        <v>20</v>
      </c>
      <c r="B21" s="3" t="s">
        <v>143</v>
      </c>
      <c r="C21" s="4" t="s">
        <v>144</v>
      </c>
      <c r="D21" s="4" t="s">
        <v>29</v>
      </c>
      <c r="E21" s="4" t="s">
        <v>20</v>
      </c>
      <c r="F21" s="4" t="s">
        <v>145</v>
      </c>
      <c r="G21" s="3" t="s">
        <v>140</v>
      </c>
      <c r="H21" s="2" t="n">
        <v>23</v>
      </c>
      <c r="I21" s="2" t="n">
        <v>29</v>
      </c>
      <c r="J21" s="2" t="n">
        <v>19</v>
      </c>
      <c r="K21" s="2" t="n">
        <v>11</v>
      </c>
      <c r="L21" s="5" t="n">
        <f aca="false">SUM(H21:K21)</f>
        <v>82</v>
      </c>
      <c r="M21" s="4" t="str">
        <f aca="false">IF(L21&gt;=85,"Apply this week",IF(L21&gt;=78,"Strong - apply",IF(L21&gt;=70,"Worth a shot","Stretch")))</f>
        <v>Strong - apply</v>
      </c>
      <c r="N21" s="6" t="s">
        <v>75</v>
      </c>
      <c r="O21" s="3" t="s">
        <v>146</v>
      </c>
      <c r="P21" s="3" t="s">
        <v>147</v>
      </c>
      <c r="Q21" s="7" t="s">
        <v>26</v>
      </c>
    </row>
    <row r="22" customFormat="false" ht="22.35" hidden="false" customHeight="false" outlineLevel="0" collapsed="false">
      <c r="A22" s="2" t="n">
        <v>21</v>
      </c>
      <c r="B22" s="3" t="s">
        <v>148</v>
      </c>
      <c r="C22" s="4" t="s">
        <v>149</v>
      </c>
      <c r="D22" s="4" t="s">
        <v>29</v>
      </c>
      <c r="E22" s="4" t="s">
        <v>20</v>
      </c>
      <c r="F22" s="4" t="s">
        <v>150</v>
      </c>
      <c r="G22" s="3" t="s">
        <v>151</v>
      </c>
      <c r="H22" s="2" t="n">
        <v>23</v>
      </c>
      <c r="I22" s="2" t="n">
        <v>29</v>
      </c>
      <c r="J22" s="2" t="n">
        <v>20</v>
      </c>
      <c r="K22" s="2" t="n">
        <v>10</v>
      </c>
      <c r="L22" s="5" t="n">
        <f aca="false">SUM(H22:K22)</f>
        <v>82</v>
      </c>
      <c r="M22" s="4" t="str">
        <f aca="false">IF(L22&gt;=85,"Apply this week",IF(L22&gt;=78,"Strong - apply",IF(L22&gt;=70,"Worth a shot","Stretch")))</f>
        <v>Strong - apply</v>
      </c>
      <c r="N22" s="6" t="s">
        <v>69</v>
      </c>
      <c r="O22" s="3" t="s">
        <v>152</v>
      </c>
      <c r="P22" s="3" t="s">
        <v>153</v>
      </c>
      <c r="Q22" s="7" t="s">
        <v>26</v>
      </c>
    </row>
    <row r="23" customFormat="false" ht="22.35" hidden="false" customHeight="false" outlineLevel="0" collapsed="false">
      <c r="A23" s="2" t="n">
        <v>22</v>
      </c>
      <c r="B23" s="3" t="s">
        <v>154</v>
      </c>
      <c r="C23" s="4" t="s">
        <v>155</v>
      </c>
      <c r="D23" s="4" t="s">
        <v>66</v>
      </c>
      <c r="E23" s="4" t="s">
        <v>86</v>
      </c>
      <c r="F23" s="4" t="s">
        <v>80</v>
      </c>
      <c r="G23" s="3" t="s">
        <v>61</v>
      </c>
      <c r="H23" s="2" t="n">
        <v>29</v>
      </c>
      <c r="I23" s="2" t="n">
        <v>20</v>
      </c>
      <c r="J23" s="2" t="n">
        <v>20</v>
      </c>
      <c r="K23" s="2" t="n">
        <v>13</v>
      </c>
      <c r="L23" s="5" t="n">
        <f aca="false">SUM(H23:K23)</f>
        <v>82</v>
      </c>
      <c r="M23" s="4" t="str">
        <f aca="false">IF(L23&gt;=85,"Apply this week",IF(L23&gt;=78,"Strong - apply",IF(L23&gt;=70,"Worth a shot","Stretch")))</f>
        <v>Strong - apply</v>
      </c>
      <c r="N23" s="6" t="s">
        <v>23</v>
      </c>
      <c r="O23" s="3" t="s">
        <v>156</v>
      </c>
      <c r="P23" s="3" t="s">
        <v>157</v>
      </c>
      <c r="Q23" s="7" t="s">
        <v>26</v>
      </c>
    </row>
    <row r="24" customFormat="false" ht="22.35" hidden="false" customHeight="false" outlineLevel="0" collapsed="false">
      <c r="A24" s="2" t="n">
        <v>23</v>
      </c>
      <c r="B24" s="3" t="s">
        <v>158</v>
      </c>
      <c r="C24" s="4" t="s">
        <v>159</v>
      </c>
      <c r="D24" s="4" t="s">
        <v>29</v>
      </c>
      <c r="E24" s="4" t="s">
        <v>86</v>
      </c>
      <c r="F24" s="4" t="s">
        <v>113</v>
      </c>
      <c r="G24" s="3" t="s">
        <v>160</v>
      </c>
      <c r="H24" s="2" t="n">
        <v>28</v>
      </c>
      <c r="I24" s="2" t="n">
        <v>21</v>
      </c>
      <c r="J24" s="2" t="n">
        <v>20</v>
      </c>
      <c r="K24" s="2" t="n">
        <v>13</v>
      </c>
      <c r="L24" s="5" t="n">
        <f aca="false">SUM(H24:K24)</f>
        <v>82</v>
      </c>
      <c r="M24" s="4" t="str">
        <f aca="false">IF(L24&gt;=85,"Apply this week",IF(L24&gt;=78,"Strong - apply",IF(L24&gt;=70,"Worth a shot","Stretch")))</f>
        <v>Strong - apply</v>
      </c>
      <c r="N24" s="6" t="s">
        <v>108</v>
      </c>
      <c r="O24" s="3" t="s">
        <v>161</v>
      </c>
      <c r="P24" s="3" t="s">
        <v>162</v>
      </c>
      <c r="Q24" s="7" t="s">
        <v>26</v>
      </c>
    </row>
    <row r="25" customFormat="false" ht="22.35" hidden="false" customHeight="false" outlineLevel="0" collapsed="false">
      <c r="A25" s="2" t="n">
        <v>24</v>
      </c>
      <c r="B25" s="3" t="s">
        <v>163</v>
      </c>
      <c r="C25" s="4" t="s">
        <v>164</v>
      </c>
      <c r="D25" s="4" t="s">
        <v>37</v>
      </c>
      <c r="E25" s="4" t="s">
        <v>165</v>
      </c>
      <c r="F25" s="4" t="s">
        <v>38</v>
      </c>
      <c r="G25" s="3" t="s">
        <v>166</v>
      </c>
      <c r="H25" s="2" t="n">
        <v>22</v>
      </c>
      <c r="I25" s="2" t="n">
        <v>29</v>
      </c>
      <c r="J25" s="2" t="n">
        <v>19</v>
      </c>
      <c r="K25" s="2" t="n">
        <v>11</v>
      </c>
      <c r="L25" s="5" t="n">
        <f aca="false">SUM(H25:K25)</f>
        <v>81</v>
      </c>
      <c r="M25" s="4" t="str">
        <f aca="false">IF(L25&gt;=85,"Apply this week",IF(L25&gt;=78,"Strong - apply",IF(L25&gt;=70,"Worth a shot","Stretch")))</f>
        <v>Strong - apply</v>
      </c>
      <c r="N25" s="6" t="s">
        <v>40</v>
      </c>
      <c r="O25" s="3" t="s">
        <v>167</v>
      </c>
      <c r="P25" s="3" t="s">
        <v>168</v>
      </c>
      <c r="Q25" s="7" t="s">
        <v>26</v>
      </c>
    </row>
    <row r="26" customFormat="false" ht="22.35" hidden="false" customHeight="false" outlineLevel="0" collapsed="false">
      <c r="A26" s="2" t="n">
        <v>25</v>
      </c>
      <c r="B26" s="3" t="s">
        <v>169</v>
      </c>
      <c r="C26" s="4" t="s">
        <v>170</v>
      </c>
      <c r="D26" s="4" t="s">
        <v>37</v>
      </c>
      <c r="E26" s="4" t="s">
        <v>20</v>
      </c>
      <c r="F26" s="4" t="s">
        <v>113</v>
      </c>
      <c r="G26" s="3" t="s">
        <v>171</v>
      </c>
      <c r="H26" s="2" t="n">
        <v>24</v>
      </c>
      <c r="I26" s="2" t="n">
        <v>29</v>
      </c>
      <c r="J26" s="2" t="n">
        <v>20</v>
      </c>
      <c r="K26" s="2" t="n">
        <v>8</v>
      </c>
      <c r="L26" s="5" t="n">
        <f aca="false">SUM(H26:K26)</f>
        <v>81</v>
      </c>
      <c r="M26" s="4" t="str">
        <f aca="false">IF(L26&gt;=85,"Apply this week",IF(L26&gt;=78,"Strong - apply",IF(L26&gt;=70,"Worth a shot","Stretch")))</f>
        <v>Strong - apply</v>
      </c>
      <c r="N26" s="6" t="s">
        <v>69</v>
      </c>
      <c r="O26" s="3" t="s">
        <v>172</v>
      </c>
      <c r="P26" s="3" t="s">
        <v>173</v>
      </c>
      <c r="Q26" s="7" t="s">
        <v>26</v>
      </c>
    </row>
    <row r="27" customFormat="false" ht="22.35" hidden="false" customHeight="false" outlineLevel="0" collapsed="false">
      <c r="A27" s="2" t="n">
        <v>26</v>
      </c>
      <c r="B27" s="3" t="s">
        <v>174</v>
      </c>
      <c r="C27" s="4" t="s">
        <v>175</v>
      </c>
      <c r="D27" s="4" t="s">
        <v>99</v>
      </c>
      <c r="E27" s="4" t="s">
        <v>86</v>
      </c>
      <c r="F27" s="4" t="s">
        <v>176</v>
      </c>
      <c r="G27" s="3" t="s">
        <v>61</v>
      </c>
      <c r="H27" s="2" t="n">
        <v>28</v>
      </c>
      <c r="I27" s="2" t="n">
        <v>20</v>
      </c>
      <c r="J27" s="2" t="n">
        <v>20</v>
      </c>
      <c r="K27" s="2" t="n">
        <v>13</v>
      </c>
      <c r="L27" s="5" t="n">
        <f aca="false">SUM(H27:K27)</f>
        <v>81</v>
      </c>
      <c r="M27" s="4" t="str">
        <f aca="false">IF(L27&gt;=85,"Apply this week",IF(L27&gt;=78,"Strong - apply",IF(L27&gt;=70,"Worth a shot","Stretch")))</f>
        <v>Strong - apply</v>
      </c>
      <c r="N27" s="6" t="s">
        <v>23</v>
      </c>
      <c r="O27" s="3" t="s">
        <v>177</v>
      </c>
      <c r="P27" s="3" t="s">
        <v>178</v>
      </c>
      <c r="Q27" s="7" t="s">
        <v>26</v>
      </c>
    </row>
    <row r="28" customFormat="false" ht="22.35" hidden="false" customHeight="false" outlineLevel="0" collapsed="false">
      <c r="A28" s="2" t="n">
        <v>27</v>
      </c>
      <c r="B28" s="3" t="s">
        <v>179</v>
      </c>
      <c r="C28" s="4" t="s">
        <v>180</v>
      </c>
      <c r="D28" s="4" t="s">
        <v>52</v>
      </c>
      <c r="E28" s="4" t="s">
        <v>20</v>
      </c>
      <c r="F28" s="4" t="s">
        <v>113</v>
      </c>
      <c r="G28" s="3" t="s">
        <v>181</v>
      </c>
      <c r="H28" s="2" t="n">
        <v>20</v>
      </c>
      <c r="I28" s="2" t="n">
        <v>30</v>
      </c>
      <c r="J28" s="2" t="n">
        <v>17</v>
      </c>
      <c r="K28" s="2" t="n">
        <v>13</v>
      </c>
      <c r="L28" s="5" t="n">
        <f aca="false">SUM(H28:K28)</f>
        <v>80</v>
      </c>
      <c r="M28" s="4" t="str">
        <f aca="false">IF(L28&gt;=85,"Apply this week",IF(L28&gt;=78,"Strong - apply",IF(L28&gt;=70,"Worth a shot","Stretch")))</f>
        <v>Strong - apply</v>
      </c>
      <c r="N28" s="6" t="s">
        <v>47</v>
      </c>
      <c r="O28" s="3" t="s">
        <v>182</v>
      </c>
      <c r="P28" s="3" t="s">
        <v>183</v>
      </c>
      <c r="Q28" s="7" t="s">
        <v>26</v>
      </c>
    </row>
    <row r="29" customFormat="false" ht="22.35" hidden="false" customHeight="false" outlineLevel="0" collapsed="false">
      <c r="A29" s="2" t="n">
        <v>28</v>
      </c>
      <c r="B29" s="3" t="s">
        <v>184</v>
      </c>
      <c r="C29" s="4" t="s">
        <v>185</v>
      </c>
      <c r="D29" s="4" t="s">
        <v>37</v>
      </c>
      <c r="E29" s="4" t="s">
        <v>86</v>
      </c>
      <c r="F29" s="4" t="s">
        <v>186</v>
      </c>
      <c r="G29" s="3" t="s">
        <v>187</v>
      </c>
      <c r="H29" s="2" t="n">
        <v>28</v>
      </c>
      <c r="I29" s="2" t="n">
        <v>18</v>
      </c>
      <c r="J29" s="2" t="n">
        <v>22</v>
      </c>
      <c r="K29" s="2" t="n">
        <v>10</v>
      </c>
      <c r="L29" s="5" t="n">
        <f aca="false">SUM(H29:K29)</f>
        <v>78</v>
      </c>
      <c r="M29" s="4" t="str">
        <f aca="false">IF(L29&gt;=85,"Apply this week",IF(L29&gt;=78,"Strong - apply",IF(L29&gt;=70,"Worth a shot","Stretch")))</f>
        <v>Strong - apply</v>
      </c>
      <c r="N29" s="6" t="s">
        <v>23</v>
      </c>
      <c r="O29" s="3" t="s">
        <v>188</v>
      </c>
      <c r="P29" s="3" t="s">
        <v>189</v>
      </c>
      <c r="Q29" s="7" t="s">
        <v>26</v>
      </c>
    </row>
    <row r="30" customFormat="false" ht="22.35" hidden="false" customHeight="false" outlineLevel="0" collapsed="false">
      <c r="A30" s="2" t="n">
        <v>29</v>
      </c>
      <c r="B30" s="3" t="s">
        <v>190</v>
      </c>
      <c r="C30" s="4" t="s">
        <v>191</v>
      </c>
      <c r="D30" s="4" t="s">
        <v>99</v>
      </c>
      <c r="E30" s="4" t="s">
        <v>86</v>
      </c>
      <c r="F30" s="4" t="s">
        <v>106</v>
      </c>
      <c r="G30" s="3" t="s">
        <v>54</v>
      </c>
      <c r="H30" s="2" t="n">
        <v>26</v>
      </c>
      <c r="I30" s="2" t="n">
        <v>18</v>
      </c>
      <c r="J30" s="2" t="n">
        <v>20</v>
      </c>
      <c r="K30" s="2" t="n">
        <v>14</v>
      </c>
      <c r="L30" s="5" t="n">
        <f aca="false">SUM(H30:K30)</f>
        <v>78</v>
      </c>
      <c r="M30" s="4" t="str">
        <f aca="false">IF(L30&gt;=85,"Apply this week",IF(L30&gt;=78,"Strong - apply",IF(L30&gt;=70,"Worth a shot","Stretch")))</f>
        <v>Strong - apply</v>
      </c>
      <c r="N30" s="6" t="s">
        <v>40</v>
      </c>
      <c r="O30" s="3" t="s">
        <v>192</v>
      </c>
      <c r="P30" s="3" t="s">
        <v>193</v>
      </c>
      <c r="Q30" s="7" t="s">
        <v>26</v>
      </c>
    </row>
    <row r="31" customFormat="false" ht="22.35" hidden="false" customHeight="false" outlineLevel="0" collapsed="false">
      <c r="A31" s="2" t="n">
        <v>30</v>
      </c>
      <c r="B31" s="3" t="s">
        <v>194</v>
      </c>
      <c r="C31" s="4" t="s">
        <v>195</v>
      </c>
      <c r="D31" s="4" t="s">
        <v>99</v>
      </c>
      <c r="E31" s="4" t="s">
        <v>20</v>
      </c>
      <c r="F31" s="4" t="s">
        <v>80</v>
      </c>
      <c r="G31" s="3" t="s">
        <v>196</v>
      </c>
      <c r="H31" s="2" t="n">
        <v>18</v>
      </c>
      <c r="I31" s="2" t="n">
        <v>30</v>
      </c>
      <c r="J31" s="2" t="n">
        <v>16</v>
      </c>
      <c r="K31" s="2" t="n">
        <v>14</v>
      </c>
      <c r="L31" s="5" t="n">
        <f aca="false">SUM(H31:K31)</f>
        <v>78</v>
      </c>
      <c r="M31" s="4" t="str">
        <f aca="false">IF(L31&gt;=85,"Apply this week",IF(L31&gt;=78,"Strong - apply",IF(L31&gt;=70,"Worth a shot","Stretch")))</f>
        <v>Strong - apply</v>
      </c>
      <c r="N31" s="6" t="s">
        <v>75</v>
      </c>
      <c r="O31" s="3" t="s">
        <v>197</v>
      </c>
      <c r="P31" s="3" t="s">
        <v>198</v>
      </c>
      <c r="Q31" s="7" t="s">
        <v>26</v>
      </c>
    </row>
    <row r="32" customFormat="false" ht="22.35" hidden="false" customHeight="false" outlineLevel="0" collapsed="false">
      <c r="A32" s="2" t="n">
        <v>31</v>
      </c>
      <c r="B32" s="3" t="s">
        <v>199</v>
      </c>
      <c r="C32" s="4" t="s">
        <v>200</v>
      </c>
      <c r="D32" s="4" t="s">
        <v>37</v>
      </c>
      <c r="E32" s="4" t="s">
        <v>20</v>
      </c>
      <c r="F32" s="4" t="s">
        <v>31</v>
      </c>
      <c r="G32" s="3" t="s">
        <v>201</v>
      </c>
      <c r="H32" s="2" t="n">
        <v>22</v>
      </c>
      <c r="I32" s="2" t="n">
        <v>29</v>
      </c>
      <c r="J32" s="2" t="n">
        <v>19</v>
      </c>
      <c r="K32" s="2" t="n">
        <v>8</v>
      </c>
      <c r="L32" s="5" t="n">
        <f aca="false">SUM(H32:K32)</f>
        <v>78</v>
      </c>
      <c r="M32" s="4" t="str">
        <f aca="false">IF(L32&gt;=85,"Apply this week",IF(L32&gt;=78,"Strong - apply",IF(L32&gt;=70,"Worth a shot","Stretch")))</f>
        <v>Strong - apply</v>
      </c>
      <c r="N32" s="6" t="s">
        <v>69</v>
      </c>
      <c r="O32" s="3" t="s">
        <v>202</v>
      </c>
      <c r="P32" s="3" t="s">
        <v>203</v>
      </c>
      <c r="Q32" s="7" t="s">
        <v>26</v>
      </c>
    </row>
    <row r="33" customFormat="false" ht="22.35" hidden="false" customHeight="false" outlineLevel="0" collapsed="false">
      <c r="A33" s="2" t="n">
        <v>32</v>
      </c>
      <c r="B33" s="3" t="s">
        <v>204</v>
      </c>
      <c r="C33" s="4" t="s">
        <v>205</v>
      </c>
      <c r="D33" s="4" t="s">
        <v>37</v>
      </c>
      <c r="E33" s="4" t="s">
        <v>86</v>
      </c>
      <c r="F33" s="4" t="s">
        <v>145</v>
      </c>
      <c r="G33" s="3" t="s">
        <v>206</v>
      </c>
      <c r="H33" s="2" t="n">
        <v>26</v>
      </c>
      <c r="I33" s="2" t="n">
        <v>18</v>
      </c>
      <c r="J33" s="2" t="n">
        <v>20</v>
      </c>
      <c r="K33" s="2" t="n">
        <v>13</v>
      </c>
      <c r="L33" s="5" t="n">
        <f aca="false">SUM(H33:K33)</f>
        <v>77</v>
      </c>
      <c r="M33" s="4" t="str">
        <f aca="false">IF(L33&gt;=85,"Apply this week",IF(L33&gt;=78,"Strong - apply",IF(L33&gt;=70,"Worth a shot","Stretch")))</f>
        <v>Worth a shot</v>
      </c>
      <c r="N33" s="6" t="s">
        <v>23</v>
      </c>
      <c r="O33" s="3" t="s">
        <v>207</v>
      </c>
      <c r="P33" s="3" t="s">
        <v>208</v>
      </c>
      <c r="Q33" s="7" t="s">
        <v>26</v>
      </c>
    </row>
    <row r="34" customFormat="false" ht="22.35" hidden="false" customHeight="false" outlineLevel="0" collapsed="false">
      <c r="A34" s="2" t="n">
        <v>33</v>
      </c>
      <c r="B34" s="3" t="s">
        <v>209</v>
      </c>
      <c r="C34" s="4" t="s">
        <v>210</v>
      </c>
      <c r="D34" s="4" t="s">
        <v>99</v>
      </c>
      <c r="E34" s="4" t="s">
        <v>86</v>
      </c>
      <c r="F34" s="4" t="s">
        <v>211</v>
      </c>
      <c r="G34" s="3" t="s">
        <v>32</v>
      </c>
      <c r="H34" s="2" t="n">
        <v>29</v>
      </c>
      <c r="I34" s="2" t="n">
        <v>17</v>
      </c>
      <c r="J34" s="2" t="n">
        <v>22</v>
      </c>
      <c r="K34" s="2" t="n">
        <v>9</v>
      </c>
      <c r="L34" s="5" t="n">
        <f aca="false">SUM(H34:K34)</f>
        <v>77</v>
      </c>
      <c r="M34" s="4" t="str">
        <f aca="false">IF(L34&gt;=85,"Apply this week",IF(L34&gt;=78,"Strong - apply",IF(L34&gt;=70,"Worth a shot","Stretch")))</f>
        <v>Worth a shot</v>
      </c>
      <c r="N34" s="6" t="s">
        <v>23</v>
      </c>
      <c r="O34" s="3" t="s">
        <v>212</v>
      </c>
      <c r="P34" s="3" t="s">
        <v>213</v>
      </c>
      <c r="Q34" s="7" t="s">
        <v>26</v>
      </c>
    </row>
    <row r="35" customFormat="false" ht="22.35" hidden="false" customHeight="false" outlineLevel="0" collapsed="false">
      <c r="A35" s="2" t="n">
        <v>34</v>
      </c>
      <c r="B35" s="3" t="s">
        <v>214</v>
      </c>
      <c r="C35" s="4" t="s">
        <v>215</v>
      </c>
      <c r="D35" s="4" t="s">
        <v>19</v>
      </c>
      <c r="E35" s="4" t="s">
        <v>20</v>
      </c>
      <c r="F35" s="4" t="s">
        <v>38</v>
      </c>
      <c r="G35" s="3" t="s">
        <v>216</v>
      </c>
      <c r="H35" s="2" t="n">
        <v>20</v>
      </c>
      <c r="I35" s="2" t="n">
        <v>26</v>
      </c>
      <c r="J35" s="2" t="n">
        <v>16</v>
      </c>
      <c r="K35" s="2" t="n">
        <v>15</v>
      </c>
      <c r="L35" s="5" t="n">
        <f aca="false">SUM(H35:K35)</f>
        <v>77</v>
      </c>
      <c r="M35" s="4" t="str">
        <f aca="false">IF(L35&gt;=85,"Apply this week",IF(L35&gt;=78,"Strong - apply",IF(L35&gt;=70,"Worth a shot","Stretch")))</f>
        <v>Worth a shot</v>
      </c>
      <c r="N35" s="6" t="s">
        <v>108</v>
      </c>
      <c r="O35" s="3" t="s">
        <v>217</v>
      </c>
      <c r="P35" s="3" t="s">
        <v>218</v>
      </c>
      <c r="Q35" s="7" t="s">
        <v>26</v>
      </c>
    </row>
    <row r="36" customFormat="false" ht="22.35" hidden="false" customHeight="false" outlineLevel="0" collapsed="false">
      <c r="A36" s="2" t="n">
        <v>35</v>
      </c>
      <c r="B36" s="3" t="s">
        <v>219</v>
      </c>
      <c r="C36" s="4" t="s">
        <v>220</v>
      </c>
      <c r="D36" s="4" t="s">
        <v>52</v>
      </c>
      <c r="E36" s="4" t="s">
        <v>20</v>
      </c>
      <c r="F36" s="4" t="s">
        <v>67</v>
      </c>
      <c r="G36" s="3" t="s">
        <v>221</v>
      </c>
      <c r="H36" s="2" t="n">
        <v>22</v>
      </c>
      <c r="I36" s="2" t="n">
        <v>29</v>
      </c>
      <c r="J36" s="2" t="n">
        <v>17</v>
      </c>
      <c r="K36" s="2" t="n">
        <v>9</v>
      </c>
      <c r="L36" s="5" t="n">
        <f aca="false">SUM(H36:K36)</f>
        <v>77</v>
      </c>
      <c r="M36" s="4" t="str">
        <f aca="false">IF(L36&gt;=85,"Apply this week",IF(L36&gt;=78,"Strong - apply",IF(L36&gt;=70,"Worth a shot","Stretch")))</f>
        <v>Worth a shot</v>
      </c>
      <c r="N36" s="6" t="s">
        <v>108</v>
      </c>
      <c r="O36" s="3" t="s">
        <v>222</v>
      </c>
      <c r="P36" s="3" t="s">
        <v>223</v>
      </c>
      <c r="Q36" s="7" t="s">
        <v>26</v>
      </c>
    </row>
    <row r="37" customFormat="false" ht="15" hidden="false" customHeight="false" outlineLevel="0" collapsed="false">
      <c r="A37" s="2" t="n">
        <v>36</v>
      </c>
      <c r="B37" s="3" t="s">
        <v>224</v>
      </c>
      <c r="C37" s="4" t="s">
        <v>225</v>
      </c>
      <c r="D37" s="4" t="s">
        <v>66</v>
      </c>
      <c r="E37" s="4" t="s">
        <v>20</v>
      </c>
      <c r="F37" s="4" t="s">
        <v>113</v>
      </c>
      <c r="G37" s="3" t="s">
        <v>101</v>
      </c>
      <c r="H37" s="2" t="n">
        <v>20</v>
      </c>
      <c r="I37" s="2" t="n">
        <v>29</v>
      </c>
      <c r="J37" s="2" t="n">
        <v>18</v>
      </c>
      <c r="K37" s="2" t="n">
        <v>8</v>
      </c>
      <c r="L37" s="5" t="n">
        <f aca="false">SUM(H37:K37)</f>
        <v>75</v>
      </c>
      <c r="M37" s="4" t="str">
        <f aca="false">IF(L37&gt;=85,"Apply this week",IF(L37&gt;=78,"Strong - apply",IF(L37&gt;=70,"Worth a shot","Stretch")))</f>
        <v>Worth a shot</v>
      </c>
      <c r="N37" s="6" t="s">
        <v>69</v>
      </c>
      <c r="O37" s="3" t="s">
        <v>226</v>
      </c>
      <c r="P37" s="3" t="s">
        <v>227</v>
      </c>
      <c r="Q37" s="7" t="s">
        <v>26</v>
      </c>
    </row>
    <row r="38" customFormat="false" ht="22.35" hidden="false" customHeight="false" outlineLevel="0" collapsed="false">
      <c r="A38" s="2" t="n">
        <v>37</v>
      </c>
      <c r="B38" s="3" t="s">
        <v>228</v>
      </c>
      <c r="C38" s="4" t="s">
        <v>229</v>
      </c>
      <c r="D38" s="4" t="s">
        <v>29</v>
      </c>
      <c r="E38" s="4" t="s">
        <v>20</v>
      </c>
      <c r="F38" s="4" t="s">
        <v>67</v>
      </c>
      <c r="G38" s="3" t="s">
        <v>216</v>
      </c>
      <c r="H38" s="2" t="n">
        <v>21</v>
      </c>
      <c r="I38" s="2" t="n">
        <v>25</v>
      </c>
      <c r="J38" s="2" t="n">
        <v>16</v>
      </c>
      <c r="K38" s="2" t="n">
        <v>13</v>
      </c>
      <c r="L38" s="5" t="n">
        <f aca="false">SUM(H38:K38)</f>
        <v>75</v>
      </c>
      <c r="M38" s="4" t="str">
        <f aca="false">IF(L38&gt;=85,"Apply this week",IF(L38&gt;=78,"Strong - apply",IF(L38&gt;=70,"Worth a shot","Stretch")))</f>
        <v>Worth a shot</v>
      </c>
      <c r="N38" s="6" t="s">
        <v>108</v>
      </c>
      <c r="O38" s="3" t="s">
        <v>230</v>
      </c>
      <c r="P38" s="3" t="s">
        <v>231</v>
      </c>
      <c r="Q38" s="7" t="s">
        <v>26</v>
      </c>
    </row>
    <row r="39" customFormat="false" ht="22.35" hidden="false" customHeight="false" outlineLevel="0" collapsed="false">
      <c r="A39" s="2" t="n">
        <v>38</v>
      </c>
      <c r="B39" s="3" t="s">
        <v>232</v>
      </c>
      <c r="C39" s="4" t="s">
        <v>233</v>
      </c>
      <c r="D39" s="4" t="s">
        <v>29</v>
      </c>
      <c r="E39" s="4" t="s">
        <v>86</v>
      </c>
      <c r="F39" s="4" t="s">
        <v>21</v>
      </c>
      <c r="G39" s="3" t="s">
        <v>187</v>
      </c>
      <c r="H39" s="2" t="n">
        <v>26</v>
      </c>
      <c r="I39" s="2" t="n">
        <v>18</v>
      </c>
      <c r="J39" s="2" t="n">
        <v>20</v>
      </c>
      <c r="K39" s="2" t="n">
        <v>10</v>
      </c>
      <c r="L39" s="5" t="n">
        <f aca="false">SUM(H39:K39)</f>
        <v>74</v>
      </c>
      <c r="M39" s="4" t="str">
        <f aca="false">IF(L39&gt;=85,"Apply this week",IF(L39&gt;=78,"Strong - apply",IF(L39&gt;=70,"Worth a shot","Stretch")))</f>
        <v>Worth a shot</v>
      </c>
      <c r="N39" s="6" t="s">
        <v>23</v>
      </c>
      <c r="O39" s="3" t="s">
        <v>234</v>
      </c>
      <c r="P39" s="3" t="s">
        <v>235</v>
      </c>
      <c r="Q39" s="7" t="s">
        <v>26</v>
      </c>
    </row>
    <row r="40" customFormat="false" ht="15" hidden="false" customHeight="false" outlineLevel="0" collapsed="false">
      <c r="A40" s="2" t="n">
        <v>39</v>
      </c>
      <c r="B40" s="3" t="s">
        <v>236</v>
      </c>
      <c r="C40" s="4" t="s">
        <v>237</v>
      </c>
      <c r="D40" s="4" t="s">
        <v>238</v>
      </c>
      <c r="E40" s="4" t="s">
        <v>20</v>
      </c>
      <c r="F40" s="4" t="s">
        <v>31</v>
      </c>
      <c r="G40" s="3" t="s">
        <v>128</v>
      </c>
      <c r="H40" s="2" t="n">
        <v>20</v>
      </c>
      <c r="I40" s="2" t="n">
        <v>29</v>
      </c>
      <c r="J40" s="2" t="n">
        <v>17</v>
      </c>
      <c r="K40" s="2" t="n">
        <v>7</v>
      </c>
      <c r="L40" s="5" t="n">
        <f aca="false">SUM(H40:K40)</f>
        <v>73</v>
      </c>
      <c r="M40" s="4" t="str">
        <f aca="false">IF(L40&gt;=85,"Apply this week",IF(L40&gt;=78,"Strong - apply",IF(L40&gt;=70,"Worth a shot","Stretch")))</f>
        <v>Worth a shot</v>
      </c>
      <c r="N40" s="6" t="s">
        <v>69</v>
      </c>
      <c r="O40" s="3" t="s">
        <v>239</v>
      </c>
      <c r="P40" s="3" t="s">
        <v>240</v>
      </c>
      <c r="Q40" s="7" t="s">
        <v>26</v>
      </c>
    </row>
    <row r="41" customFormat="false" ht="22.35" hidden="false" customHeight="false" outlineLevel="0" collapsed="false">
      <c r="A41" s="2" t="n">
        <v>40</v>
      </c>
      <c r="B41" s="3" t="s">
        <v>241</v>
      </c>
      <c r="C41" s="4" t="s">
        <v>242</v>
      </c>
      <c r="D41" s="4" t="s">
        <v>37</v>
      </c>
      <c r="E41" s="4" t="s">
        <v>20</v>
      </c>
      <c r="F41" s="4" t="s">
        <v>38</v>
      </c>
      <c r="G41" s="3" t="s">
        <v>128</v>
      </c>
      <c r="H41" s="2" t="n">
        <v>18</v>
      </c>
      <c r="I41" s="2" t="n">
        <v>29</v>
      </c>
      <c r="J41" s="2" t="n">
        <v>16</v>
      </c>
      <c r="K41" s="2" t="n">
        <v>9</v>
      </c>
      <c r="L41" s="5" t="n">
        <f aca="false">SUM(H41:K41)</f>
        <v>72</v>
      </c>
      <c r="M41" s="4" t="str">
        <f aca="false">IF(L41&gt;=85,"Apply this week",IF(L41&gt;=78,"Strong - apply",IF(L41&gt;=70,"Worth a shot","Stretch")))</f>
        <v>Worth a shot</v>
      </c>
      <c r="N41" s="6" t="s">
        <v>69</v>
      </c>
      <c r="O41" s="3" t="s">
        <v>243</v>
      </c>
      <c r="P41" s="3" t="s">
        <v>244</v>
      </c>
      <c r="Q41" s="7" t="s">
        <v>26</v>
      </c>
    </row>
    <row r="42" customFormat="false" ht="15" hidden="false" customHeight="false" outlineLevel="0" collapsed="false">
      <c r="A42" s="2" t="n">
        <v>41</v>
      </c>
      <c r="B42" s="3" t="s">
        <v>245</v>
      </c>
      <c r="C42" s="4" t="s">
        <v>246</v>
      </c>
      <c r="D42" s="4" t="s">
        <v>247</v>
      </c>
      <c r="E42" s="4" t="s">
        <v>20</v>
      </c>
      <c r="F42" s="4" t="s">
        <v>100</v>
      </c>
      <c r="G42" s="3" t="s">
        <v>74</v>
      </c>
      <c r="H42" s="2" t="n">
        <v>18</v>
      </c>
      <c r="I42" s="2" t="n">
        <v>29</v>
      </c>
      <c r="J42" s="2" t="n">
        <v>15</v>
      </c>
      <c r="K42" s="2" t="n">
        <v>8</v>
      </c>
      <c r="L42" s="5" t="n">
        <f aca="false">SUM(H42:K42)</f>
        <v>70</v>
      </c>
      <c r="M42" s="4" t="str">
        <f aca="false">IF(L42&gt;=85,"Apply this week",IF(L42&gt;=78,"Strong - apply",IF(L42&gt;=70,"Worth a shot","Stretch")))</f>
        <v>Worth a shot</v>
      </c>
      <c r="N42" s="6" t="s">
        <v>75</v>
      </c>
      <c r="O42" s="3" t="s">
        <v>248</v>
      </c>
      <c r="P42" s="3" t="s">
        <v>249</v>
      </c>
      <c r="Q42" s="7" t="s">
        <v>26</v>
      </c>
    </row>
  </sheetData>
  <autoFilter ref="A1:Q42"/>
  <conditionalFormatting sqref="L2:L42">
    <cfRule type="colorScale" priority="2">
      <colorScale>
        <cfvo type="num" val="68"/>
        <cfvo type="num" val="80"/>
        <cfvo type="num" val="95"/>
        <color rgb="FFF4B183"/>
        <color rgb="FFFFE699"/>
        <color rgb="FFA9D08E"/>
      </colorScale>
    </cfRule>
  </conditionalFormatting>
  <conditionalFormatting sqref="M2:M42">
    <cfRule type="cellIs" priority="3" operator="equal" aboveAverage="0" equalAverage="0" bottom="0" percent="0" rank="0" text="" dxfId="26">
      <formula>"Apply this week"</formula>
    </cfRule>
    <cfRule type="cellIs" priority="4" operator="equal" aboveAverage="0" equalAverage="0" bottom="0" percent="0" rank="0" text="" dxfId="27">
      <formula>"Worth a shot"</formula>
    </cfRule>
  </conditionalFormatting>
  <hyperlinks>
    <hyperlink ref="Q2" r:id="rId1" display="Open"/>
    <hyperlink ref="Q3" r:id="rId2" display="Open"/>
    <hyperlink ref="Q4" r:id="rId3" display="Open"/>
    <hyperlink ref="Q5" r:id="rId4" display="Open"/>
    <hyperlink ref="Q6" r:id="rId5" display="Open"/>
    <hyperlink ref="Q7" r:id="rId6" display="Open"/>
    <hyperlink ref="Q8" r:id="rId7" display="Open"/>
    <hyperlink ref="Q9" r:id="rId8" display="Open"/>
    <hyperlink ref="Q10" r:id="rId9" display="Open"/>
    <hyperlink ref="Q11" r:id="rId10" display="Open"/>
    <hyperlink ref="Q12" r:id="rId11" display="Open"/>
    <hyperlink ref="Q13" r:id="rId12" display="Open"/>
    <hyperlink ref="Q14" r:id="rId13" display="Open"/>
    <hyperlink ref="Q15" r:id="rId14" display="Open"/>
    <hyperlink ref="Q16" r:id="rId15" display="Open"/>
    <hyperlink ref="Q17" r:id="rId16" display="Open"/>
    <hyperlink ref="Q18" r:id="rId17" display="Open"/>
    <hyperlink ref="Q19" r:id="rId18" display="Open"/>
    <hyperlink ref="Q20" r:id="rId19" display="Open"/>
    <hyperlink ref="Q21" r:id="rId20" display="Open"/>
    <hyperlink ref="Q22" r:id="rId21" display="Open"/>
    <hyperlink ref="Q23" r:id="rId22" display="Open"/>
    <hyperlink ref="Q24" r:id="rId23" display="Open"/>
    <hyperlink ref="Q25" r:id="rId24" display="Open"/>
    <hyperlink ref="Q26" r:id="rId25" display="Open"/>
    <hyperlink ref="Q27" r:id="rId26" display="Open"/>
    <hyperlink ref="Q28" r:id="rId27" display="Open"/>
    <hyperlink ref="Q29" r:id="rId28" display="Open"/>
    <hyperlink ref="Q30" r:id="rId29" display="Open"/>
    <hyperlink ref="Q31" r:id="rId30" display="Open"/>
    <hyperlink ref="Q32" r:id="rId31" display="Open"/>
    <hyperlink ref="Q33" r:id="rId32" display="Open"/>
    <hyperlink ref="Q34" r:id="rId33" display="Open"/>
    <hyperlink ref="Q35" r:id="rId34" display="Open"/>
    <hyperlink ref="Q36" r:id="rId35" display="Open"/>
    <hyperlink ref="Q37" r:id="rId36" display="Open"/>
    <hyperlink ref="Q38" r:id="rId37" display="Open"/>
    <hyperlink ref="Q39" r:id="rId38" display="Open"/>
    <hyperlink ref="Q40" r:id="rId39" display="Open"/>
    <hyperlink ref="Q41" r:id="rId40" display="Open"/>
    <hyperlink ref="Q42" r:id="rId41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64"/>
  </cols>
  <sheetData>
    <row r="1" customFormat="false" ht="15" hidden="false" customHeight="false" outlineLevel="0" collapsed="false">
      <c r="A1" s="8" t="s">
        <v>250</v>
      </c>
    </row>
    <row r="3" customFormat="false" ht="15" hidden="false" customHeight="false" outlineLevel="0" collapsed="false">
      <c r="A3" s="9" t="s">
        <v>251</v>
      </c>
      <c r="B3" s="9" t="s">
        <v>252</v>
      </c>
      <c r="C3" s="9" t="s">
        <v>253</v>
      </c>
    </row>
    <row r="4" customFormat="false" ht="22.35" hidden="false" customHeight="false" outlineLevel="0" collapsed="false">
      <c r="A4" s="10" t="s">
        <v>254</v>
      </c>
      <c r="B4" s="10" t="s">
        <v>255</v>
      </c>
      <c r="C4" s="10" t="s">
        <v>256</v>
      </c>
    </row>
    <row r="5" customFormat="false" ht="22.35" hidden="false" customHeight="false" outlineLevel="0" collapsed="false">
      <c r="A5" s="10" t="s">
        <v>257</v>
      </c>
      <c r="B5" s="10" t="s">
        <v>258</v>
      </c>
      <c r="C5" s="10" t="s">
        <v>259</v>
      </c>
    </row>
    <row r="6" customFormat="false" ht="15" hidden="false" customHeight="false" outlineLevel="0" collapsed="false">
      <c r="A6" s="10" t="s">
        <v>260</v>
      </c>
      <c r="B6" s="10" t="s">
        <v>261</v>
      </c>
      <c r="C6" s="10" t="s">
        <v>262</v>
      </c>
    </row>
    <row r="7" customFormat="false" ht="15" hidden="false" customHeight="false" outlineLevel="0" collapsed="false">
      <c r="A7" s="10" t="s">
        <v>263</v>
      </c>
      <c r="B7" s="10" t="s">
        <v>264</v>
      </c>
      <c r="C7" s="10" t="s">
        <v>265</v>
      </c>
    </row>
    <row r="8" customFormat="false" ht="22.35" hidden="false" customHeight="false" outlineLevel="0" collapsed="false">
      <c r="A8" s="10" t="s">
        <v>266</v>
      </c>
      <c r="B8" s="10" t="s">
        <v>267</v>
      </c>
      <c r="C8" s="10" t="s">
        <v>268</v>
      </c>
    </row>
    <row r="9" customFormat="false" ht="15" hidden="false" customHeight="false" outlineLevel="0" collapsed="false">
      <c r="A9" s="10" t="s">
        <v>269</v>
      </c>
      <c r="B9" s="10" t="s">
        <v>270</v>
      </c>
      <c r="C9" s="10" t="s">
        <v>271</v>
      </c>
    </row>
    <row r="10" customFormat="false" ht="15" hidden="false" customHeight="false" outlineLevel="0" collapsed="false">
      <c r="A10" s="10" t="s">
        <v>272</v>
      </c>
      <c r="B10" s="10" t="s">
        <v>273</v>
      </c>
      <c r="C10" s="10" t="s">
        <v>274</v>
      </c>
    </row>
    <row r="11" customFormat="false" ht="22.35" hidden="false" customHeight="false" outlineLevel="0" collapsed="false">
      <c r="A11" s="10" t="s">
        <v>275</v>
      </c>
      <c r="B11" s="10" t="s">
        <v>276</v>
      </c>
      <c r="C11" s="10" t="s">
        <v>277</v>
      </c>
    </row>
    <row r="12" customFormat="false" ht="22.35" hidden="false" customHeight="false" outlineLevel="0" collapsed="false">
      <c r="A12" s="10" t="s">
        <v>278</v>
      </c>
      <c r="B12" s="10" t="s">
        <v>279</v>
      </c>
      <c r="C12" s="10" t="s">
        <v>280</v>
      </c>
    </row>
    <row r="13" customFormat="false" ht="22.35" hidden="false" customHeight="false" outlineLevel="0" collapsed="false">
      <c r="A13" s="10" t="s">
        <v>281</v>
      </c>
      <c r="B13" s="10" t="s">
        <v>282</v>
      </c>
      <c r="C13" s="10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96"/>
  </cols>
  <sheetData>
    <row r="1" customFormat="false" ht="17.35" hidden="false" customHeight="false" outlineLevel="0" collapsed="false">
      <c r="A1" s="11" t="s">
        <v>284</v>
      </c>
    </row>
    <row r="3" customFormat="false" ht="15" hidden="false" customHeight="false" outlineLevel="0" collapsed="false">
      <c r="A3" s="12" t="s">
        <v>285</v>
      </c>
      <c r="B3" s="12" t="s">
        <v>286</v>
      </c>
      <c r="C3" s="12" t="s">
        <v>287</v>
      </c>
    </row>
    <row r="4" customFormat="false" ht="15" hidden="false" customHeight="false" outlineLevel="0" collapsed="false">
      <c r="A4" s="13" t="s">
        <v>288</v>
      </c>
      <c r="B4" s="14" t="n">
        <v>30</v>
      </c>
      <c r="C4" s="13" t="s">
        <v>289</v>
      </c>
    </row>
    <row r="5" customFormat="false" ht="22.35" hidden="false" customHeight="false" outlineLevel="0" collapsed="false">
      <c r="A5" s="13" t="s">
        <v>290</v>
      </c>
      <c r="B5" s="14" t="n">
        <v>30</v>
      </c>
      <c r="C5" s="13" t="s">
        <v>291</v>
      </c>
    </row>
    <row r="6" customFormat="false" ht="22.35" hidden="false" customHeight="false" outlineLevel="0" collapsed="false">
      <c r="A6" s="13" t="s">
        <v>292</v>
      </c>
      <c r="B6" s="14" t="n">
        <v>25</v>
      </c>
      <c r="C6" s="13" t="s">
        <v>293</v>
      </c>
    </row>
    <row r="7" customFormat="false" ht="15" hidden="false" customHeight="false" outlineLevel="0" collapsed="false">
      <c r="A7" s="13" t="s">
        <v>294</v>
      </c>
      <c r="B7" s="14" t="n">
        <v>15</v>
      </c>
      <c r="C7" s="13" t="s">
        <v>295</v>
      </c>
    </row>
    <row r="8" customFormat="false" ht="15" hidden="false" customHeight="false" outlineLevel="0" collapsed="false">
      <c r="A8" s="13" t="s">
        <v>11</v>
      </c>
      <c r="B8" s="14" t="n">
        <v>100</v>
      </c>
      <c r="C8" s="13" t="s">
        <v>296</v>
      </c>
    </row>
    <row r="9" customFormat="false" ht="15" hidden="false" customHeight="false" outlineLevel="0" collapsed="false">
      <c r="A9" s="13"/>
      <c r="B9" s="14"/>
      <c r="C9" s="13"/>
    </row>
    <row r="10" customFormat="false" ht="15" hidden="false" customHeight="false" outlineLevel="0" collapsed="false">
      <c r="A10" s="15" t="s">
        <v>297</v>
      </c>
      <c r="B10" s="14"/>
      <c r="C10" s="13"/>
    </row>
    <row r="11" customFormat="false" ht="15" hidden="false" customHeight="false" outlineLevel="0" collapsed="false">
      <c r="A11" s="13" t="s">
        <v>298</v>
      </c>
      <c r="B11" s="14" t="s">
        <v>299</v>
      </c>
      <c r="C11" s="13" t="s">
        <v>300</v>
      </c>
    </row>
    <row r="12" customFormat="false" ht="15" hidden="false" customHeight="false" outlineLevel="0" collapsed="false">
      <c r="A12" s="13" t="s">
        <v>301</v>
      </c>
      <c r="B12" s="14" t="s">
        <v>302</v>
      </c>
      <c r="C12" s="13" t="s">
        <v>303</v>
      </c>
    </row>
    <row r="13" customFormat="false" ht="15" hidden="false" customHeight="false" outlineLevel="0" collapsed="false">
      <c r="A13" s="13" t="s">
        <v>304</v>
      </c>
      <c r="B13" s="14" t="s">
        <v>305</v>
      </c>
      <c r="C13" s="13" t="s">
        <v>306</v>
      </c>
    </row>
    <row r="14" customFormat="false" ht="15" hidden="false" customHeight="false" outlineLevel="0" collapsed="false">
      <c r="A14" s="13" t="s">
        <v>307</v>
      </c>
      <c r="B14" s="14" t="s">
        <v>308</v>
      </c>
      <c r="C14" s="13" t="s">
        <v>309</v>
      </c>
    </row>
    <row r="15" customFormat="false" ht="15" hidden="false" customHeight="false" outlineLevel="0" collapsed="false">
      <c r="A15" s="13"/>
      <c r="B15" s="14"/>
      <c r="C15" s="13"/>
    </row>
    <row r="16" customFormat="false" ht="15" hidden="false" customHeight="false" outlineLevel="0" collapsed="false">
      <c r="A16" s="15" t="s">
        <v>310</v>
      </c>
      <c r="B16" s="14"/>
      <c r="C16" s="13"/>
    </row>
    <row r="17" customFormat="false" ht="15" hidden="false" customHeight="false" outlineLevel="0" collapsed="false">
      <c r="A17" s="16" t="s">
        <v>23</v>
      </c>
      <c r="B17" s="14" t="s">
        <v>311</v>
      </c>
      <c r="C17" s="13" t="s">
        <v>312</v>
      </c>
    </row>
    <row r="18" customFormat="false" ht="22.35" hidden="false" customHeight="false" outlineLevel="0" collapsed="false">
      <c r="A18" s="16" t="s">
        <v>108</v>
      </c>
      <c r="B18" s="14" t="s">
        <v>313</v>
      </c>
      <c r="C18" s="13" t="s">
        <v>314</v>
      </c>
    </row>
    <row r="19" customFormat="false" ht="15" hidden="false" customHeight="false" outlineLevel="0" collapsed="false">
      <c r="A19" s="16" t="s">
        <v>75</v>
      </c>
      <c r="B19" s="14" t="s">
        <v>315</v>
      </c>
      <c r="C19" s="13" t="s">
        <v>316</v>
      </c>
    </row>
    <row r="20" customFormat="false" ht="15" hidden="false" customHeight="false" outlineLevel="0" collapsed="false">
      <c r="A20" s="16" t="s">
        <v>69</v>
      </c>
      <c r="B20" s="14" t="s">
        <v>317</v>
      </c>
      <c r="C20" s="13" t="s">
        <v>318</v>
      </c>
    </row>
    <row r="21" customFormat="false" ht="15" hidden="false" customHeight="false" outlineLevel="0" collapsed="false">
      <c r="A21" s="16" t="s">
        <v>40</v>
      </c>
      <c r="B21" s="14" t="s">
        <v>319</v>
      </c>
      <c r="C21" s="13" t="s">
        <v>320</v>
      </c>
    </row>
    <row r="22" customFormat="false" ht="15" hidden="false" customHeight="false" outlineLevel="0" collapsed="false">
      <c r="A22" s="16" t="s">
        <v>47</v>
      </c>
      <c r="B22" s="14" t="s">
        <v>321</v>
      </c>
      <c r="C22" s="13" t="s">
        <v>322</v>
      </c>
    </row>
    <row r="23" customFormat="false" ht="15" hidden="false" customHeight="false" outlineLevel="0" collapsed="false">
      <c r="A23" s="13"/>
      <c r="B23" s="14"/>
      <c r="C23" s="13"/>
    </row>
    <row r="24" customFormat="false" ht="15" hidden="false" customHeight="false" outlineLevel="0" collapsed="false">
      <c r="A24" s="15" t="s">
        <v>323</v>
      </c>
      <c r="B24" s="14"/>
      <c r="C24" s="13"/>
    </row>
    <row r="25" customFormat="false" ht="22.35" hidden="false" customHeight="false" outlineLevel="0" collapsed="false">
      <c r="A25" s="13" t="s">
        <v>324</v>
      </c>
      <c r="B25" s="14"/>
      <c r="C25" s="13" t="s">
        <v>325</v>
      </c>
    </row>
    <row r="26" customFormat="false" ht="15" hidden="false" customHeight="false" outlineLevel="0" collapsed="false">
      <c r="A26" s="13" t="s">
        <v>326</v>
      </c>
      <c r="B26" s="14"/>
      <c r="C26" s="13" t="s">
        <v>327</v>
      </c>
    </row>
    <row r="27" customFormat="false" ht="32.8" hidden="false" customHeight="false" outlineLevel="0" collapsed="false">
      <c r="A27" s="13" t="s">
        <v>328</v>
      </c>
      <c r="B27" s="14"/>
      <c r="C27" s="13" t="s">
        <v>329</v>
      </c>
    </row>
    <row r="28" customFormat="false" ht="15" hidden="false" customHeight="false" outlineLevel="0" collapsed="false">
      <c r="A28" s="13" t="s">
        <v>330</v>
      </c>
      <c r="B28" s="14"/>
      <c r="C28" s="13" t="s">
        <v>331</v>
      </c>
    </row>
    <row r="29" customFormat="false" ht="22.35" hidden="false" customHeight="false" outlineLevel="0" collapsed="false">
      <c r="A29" s="13" t="s">
        <v>332</v>
      </c>
      <c r="B29" s="14"/>
      <c r="C29" s="13" t="s">
        <v>333</v>
      </c>
    </row>
    <row r="30" customFormat="false" ht="15" hidden="false" customHeight="false" outlineLevel="0" collapsed="false">
      <c r="A30" s="13"/>
      <c r="B30" s="14"/>
      <c r="C3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2026-09-15T17:52:11Z</dcterms:created>
  <dc:creator>openpyxl</dc:creator>
  <dc:description/>
  <dc:language>en-US</dc:language>
  <cp:lastModifiedBy/>
  <dcterms:modified xsi:type="dcterms:W3CDTF">2026-09-15T17:52:11Z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